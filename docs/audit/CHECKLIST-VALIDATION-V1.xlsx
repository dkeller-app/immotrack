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omma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2"/>
    </font>
    <font>
      <b val="1"/>
      <color rgb="001F4E78"/>
      <sz val="16"/>
    </font>
    <font>
      <b val="1"/>
      <sz val="14"/>
    </font>
    <font>
      <b val="1"/>
      <color rgb="001F4E78"/>
      <sz val="14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0E0E0"/>
          <bgColor rgb="00E0E0E0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50" customWidth="1" min="4" max="4"/>
    <col width="50" customWidth="1" min="5" max="5"/>
    <col width="18" customWidth="1" min="6" max="6"/>
    <col width="35" customWidth="1" min="7" max="7"/>
    <col width="9" customWidth="1" min="8" max="8"/>
    <col width="25" customWidth="1" min="9" max="9"/>
    <col width="6" customWidth="1" min="10" max="10"/>
  </cols>
  <sheetData>
    <row r="1">
      <c r="A1" s="1" t="inlineStr">
        <is>
          <t>Section</t>
        </is>
      </c>
      <c r="B1" s="1" t="inlineStr">
        <is>
          <t>Sous-section</t>
        </is>
      </c>
      <c r="C1" s="1" t="inlineStr">
        <is>
          <t>N°</t>
        </is>
      </c>
      <c r="D1" s="1" t="inlineStr">
        <is>
          <t>Action à effectuer</t>
        </is>
      </c>
      <c r="E1" s="1" t="inlineStr">
        <is>
          <t>Résultat attendu</t>
        </is>
      </c>
      <c r="F1" s="1" t="inlineStr">
        <is>
          <t>Où vérifier</t>
        </is>
      </c>
      <c r="G1" s="1" t="inlineStr">
        <is>
          <t>KO si...</t>
        </is>
      </c>
      <c r="H1" s="1" t="inlineStr">
        <is>
          <t>Statut</t>
        </is>
      </c>
      <c r="I1" s="1" t="inlineStr">
        <is>
          <t>Notes</t>
        </is>
      </c>
      <c r="J1" s="1" t="inlineStr">
        <is>
          <t>Min.</t>
        </is>
      </c>
    </row>
    <row r="2" ht="32" customHeight="1">
      <c r="A2" s="2" t="inlineStr">
        <is>
          <t>1. AUTO</t>
        </is>
      </c>
    </row>
    <row r="3" ht="32" customHeight="1">
      <c r="A3" s="3" t="inlineStr">
        <is>
          <t>1. AUTO</t>
        </is>
      </c>
      <c r="B3" s="3" t="inlineStr">
        <is>
          <t>1.1 Tests Vitest</t>
        </is>
      </c>
      <c r="C3" s="4" t="inlineStr">
        <is>
          <t>1.1.2</t>
        </is>
      </c>
      <c r="D3" s="3" t="inlineStr">
        <is>
          <t>Vérifier absence de message rouge ✗</t>
        </is>
      </c>
      <c r="E3" s="3" t="inlineStr">
        <is>
          <t>Tous fichiers en vert ✓</t>
        </is>
      </c>
      <c r="F3" s="3" t="inlineStr">
        <is>
          <t>Couleur sortie console</t>
        </is>
      </c>
      <c r="G3" s="3" t="inlineStr">
        <is>
          <t>Un ✗ rouge → noter test/ligne/message</t>
        </is>
      </c>
      <c r="H3" s="4" t="inlineStr"/>
      <c r="I3" s="3" t="inlineStr"/>
      <c r="J3" s="4" t="n">
        <v>1</v>
      </c>
    </row>
    <row r="4" ht="32" customHeight="1">
      <c r="A4" s="3" t="inlineStr">
        <is>
          <t>1. AUTO</t>
        </is>
      </c>
      <c r="B4" s="3" t="inlineStr">
        <is>
          <t>1.1 Tests Vitest</t>
        </is>
      </c>
      <c r="C4" s="4" t="inlineStr">
        <is>
          <t>1.1.3</t>
        </is>
      </c>
      <c r="D4" s="3" t="inlineStr">
        <is>
          <t>Vérifier `Duration &lt; 5s`</t>
        </is>
      </c>
      <c r="E4" s="3" t="inlineStr">
        <is>
          <t>Affiché en bas (~1-2s typique)</t>
        </is>
      </c>
      <c r="F4" s="3" t="inlineStr">
        <is>
          <t>Bas de sortie console</t>
        </is>
      </c>
      <c r="G4" s="3" t="inlineStr">
        <is>
          <t>Durée &gt; 5000 ms = perf problème</t>
        </is>
      </c>
      <c r="H4" s="4" t="inlineStr"/>
      <c r="I4" s="3" t="inlineStr"/>
      <c r="J4" s="4" t="n">
        <v>1</v>
      </c>
    </row>
    <row r="5" ht="32" customHeight="1">
      <c r="A5" s="3" t="inlineStr">
        <is>
          <t>1. AUTO</t>
        </is>
      </c>
      <c r="B5" s="3" t="inlineStr">
        <is>
          <t>1.1 Tests Vitest</t>
        </is>
      </c>
      <c r="C5" s="4" t="inlineStr">
        <is>
          <t>1.1.4</t>
        </is>
      </c>
      <c r="D5" s="3" t="inlineStr">
        <is>
          <t>`npm test` (watch mode)</t>
        </is>
      </c>
      <c r="E5" s="3" t="inlineStr">
        <is>
          <t>Lance Vitest et attend modifications</t>
        </is>
      </c>
      <c r="F5" s="3" t="inlineStr">
        <is>
          <t>Console</t>
        </is>
      </c>
      <c r="G5" s="3" t="inlineStr">
        <is>
          <t>Erreur de boot ou crash</t>
        </is>
      </c>
      <c r="H5" s="4" t="inlineStr"/>
      <c r="I5" s="3" t="inlineStr"/>
      <c r="J5" s="4" t="n">
        <v>1</v>
      </c>
    </row>
    <row r="6" ht="45" customHeight="1">
      <c r="A6" s="3" t="inlineStr">
        <is>
          <t>1. AUTO</t>
        </is>
      </c>
      <c r="B6" s="3" t="inlineStr">
        <is>
          <t>1.2 HTTP Modules</t>
        </is>
      </c>
      <c r="C6" s="4" t="inlineStr">
        <is>
          <t>1.2.1</t>
        </is>
      </c>
      <c r="D6" s="3" t="inlineStr">
        <is>
          <t>Lancer http-server : `npx --yes http-server . -p 8766 -c-1 --silent &amp;`</t>
        </is>
      </c>
      <c r="E6" s="3" t="inlineStr">
        <is>
          <t>Serveur démarré sans erreur</t>
        </is>
      </c>
      <c r="F6" s="3" t="inlineStr">
        <is>
          <t>Console terminal</t>
        </is>
      </c>
      <c r="G6" s="3" t="inlineStr">
        <is>
          <t>Port déjà utilisé OU permission denied</t>
        </is>
      </c>
      <c r="H6" s="4" t="inlineStr"/>
      <c r="I6" s="3" t="inlineStr"/>
      <c r="J6" s="4" t="n">
        <v>1</v>
      </c>
    </row>
    <row r="7" ht="32" customHeight="1">
      <c r="A7" s="3" t="inlineStr">
        <is>
          <t>1. AUTO</t>
        </is>
      </c>
      <c r="B7" s="3" t="inlineStr">
        <is>
          <t>1.2 HTTP Modules</t>
        </is>
      </c>
      <c r="C7" s="4" t="inlineStr">
        <is>
          <t>1.2.2</t>
        </is>
      </c>
      <c r="D7" s="3" t="inlineStr">
        <is>
          <t>`curl -I http://localhost:8766/css/main.css`</t>
        </is>
      </c>
      <c r="E7" s="3" t="inlineStr">
        <is>
          <t>HTTP/1.1 200 + Content-Length ≥ 160000</t>
        </is>
      </c>
      <c r="F7" s="3" t="inlineStr">
        <is>
          <t>Sortie curl</t>
        </is>
      </c>
      <c r="G7" s="3" t="inlineStr">
        <is>
          <t>404 → fichier manquant OU 5xx → erreur serveur</t>
        </is>
      </c>
      <c r="H7" s="4" t="inlineStr"/>
      <c r="I7" s="3" t="inlineStr"/>
      <c r="J7" s="4" t="n">
        <v>1</v>
      </c>
    </row>
    <row r="8" ht="32" customHeight="1">
      <c r="A8" s="3" t="inlineStr">
        <is>
          <t>1. AUTO</t>
        </is>
      </c>
      <c r="B8" s="3" t="inlineStr">
        <is>
          <t>1.2 HTTP Modules</t>
        </is>
      </c>
      <c r="C8" s="4" t="inlineStr">
        <is>
          <t>1.2.3</t>
        </is>
      </c>
      <c r="D8" s="3" t="inlineStr">
        <is>
          <t>`curl -I http://localhost:8766/js/main.js`</t>
        </is>
      </c>
      <c r="E8" s="3" t="inlineStr">
        <is>
          <t>HTTP 200 + ~7-8 KB</t>
        </is>
      </c>
      <c r="F8" s="3" t="inlineStr">
        <is>
          <t>Sortie curl</t>
        </is>
      </c>
      <c r="G8" s="3" t="inlineStr">
        <is>
          <t>404 / 5xx</t>
        </is>
      </c>
      <c r="H8" s="4" t="inlineStr"/>
      <c r="I8" s="3" t="inlineStr"/>
      <c r="J8" s="4" t="n">
        <v>1</v>
      </c>
    </row>
    <row r="9" ht="32" customHeight="1">
      <c r="A9" s="3" t="inlineStr">
        <is>
          <t>1. AUTO</t>
        </is>
      </c>
      <c r="B9" s="3" t="inlineStr">
        <is>
          <t>1.2 HTTP Modules</t>
        </is>
      </c>
      <c r="C9" s="4" t="inlineStr">
        <is>
          <t>1.2.4</t>
        </is>
      </c>
      <c r="D9" s="3" t="inlineStr">
        <is>
          <t>`curl -I http://localhost:8766/js/core/utils.js`</t>
        </is>
      </c>
      <c r="E9" s="3" t="inlineStr">
        <is>
          <t>HTTP 200 + ~10 KB</t>
        </is>
      </c>
      <c r="F9" s="3" t="inlineStr">
        <is>
          <t>Sortie curl</t>
        </is>
      </c>
      <c r="G9" s="3" t="inlineStr">
        <is>
          <t>404 / 5xx</t>
        </is>
      </c>
      <c r="H9" s="4" t="inlineStr"/>
      <c r="I9" s="3" t="inlineStr"/>
      <c r="J9" s="4" t="n">
        <v>1</v>
      </c>
    </row>
    <row r="10" ht="32" customHeight="1">
      <c r="A10" s="3" t="inlineStr">
        <is>
          <t>1. AUTO</t>
        </is>
      </c>
      <c r="B10" s="3" t="inlineStr">
        <is>
          <t>1.2 HTTP Modules</t>
        </is>
      </c>
      <c r="C10" s="4" t="inlineStr">
        <is>
          <t>1.2.5</t>
        </is>
      </c>
      <c r="D10" s="3" t="inlineStr">
        <is>
          <t>`curl -I http://localhost:8766/js/core/idb.js`</t>
        </is>
      </c>
      <c r="E10" s="3" t="inlineStr">
        <is>
          <t>HTTP 200 + ~2.3 KB</t>
        </is>
      </c>
      <c r="F10" s="3" t="inlineStr">
        <is>
          <t>Sortie curl</t>
        </is>
      </c>
      <c r="G10" s="3" t="inlineStr">
        <is>
          <t>404 / 5xx</t>
        </is>
      </c>
      <c r="H10" s="4" t="inlineStr"/>
      <c r="I10" s="3" t="inlineStr"/>
      <c r="J10" s="4" t="n">
        <v>1</v>
      </c>
    </row>
    <row r="11" ht="32" customHeight="1">
      <c r="A11" s="3" t="inlineStr">
        <is>
          <t>1. AUTO</t>
        </is>
      </c>
      <c r="B11" s="3" t="inlineStr">
        <is>
          <t>1.2 HTTP Modules</t>
        </is>
      </c>
      <c r="C11" s="4" t="inlineStr">
        <is>
          <t>1.2.6</t>
        </is>
      </c>
      <c r="D11" s="3" t="inlineStr">
        <is>
          <t>`curl -I http://localhost:8766/js/core/audit-trail.js`</t>
        </is>
      </c>
      <c r="E11" s="3" t="inlineStr">
        <is>
          <t>HTTP 200 + ~5.8 KB</t>
        </is>
      </c>
      <c r="F11" s="3" t="inlineStr">
        <is>
          <t>Sortie curl</t>
        </is>
      </c>
      <c r="G11" s="3" t="inlineStr">
        <is>
          <t>404 / 5xx</t>
        </is>
      </c>
      <c r="H11" s="4" t="inlineStr"/>
      <c r="I11" s="3" t="inlineStr"/>
      <c r="J11" s="4" t="n">
        <v>1</v>
      </c>
    </row>
    <row r="12" ht="32" customHeight="1">
      <c r="A12" s="3" t="inlineStr">
        <is>
          <t>1. AUTO</t>
        </is>
      </c>
      <c r="B12" s="3" t="inlineStr">
        <is>
          <t>1.2 HTTP Modules</t>
        </is>
      </c>
      <c r="C12" s="4" t="inlineStr">
        <is>
          <t>1.2.7</t>
        </is>
      </c>
      <c r="D12" s="3" t="inlineStr">
        <is>
          <t>`curl -I http://localhost:8766/js/core/legal-2044.js`</t>
        </is>
      </c>
      <c r="E12" s="3" t="inlineStr">
        <is>
          <t>HTTP 200 + ~10.8 KB</t>
        </is>
      </c>
      <c r="F12" s="3" t="inlineStr">
        <is>
          <t>Sortie curl</t>
        </is>
      </c>
      <c r="G12" s="3" t="inlineStr">
        <is>
          <t>404 / 5xx</t>
        </is>
      </c>
      <c r="H12" s="4" t="inlineStr"/>
      <c r="I12" s="3" t="inlineStr"/>
      <c r="J12" s="4" t="n">
        <v>1</v>
      </c>
    </row>
    <row r="13" ht="32" customHeight="1">
      <c r="A13" s="3" t="inlineStr">
        <is>
          <t>1. AUTO</t>
        </is>
      </c>
      <c r="B13" s="3" t="inlineStr">
        <is>
          <t>1.2 HTTP Modules</t>
        </is>
      </c>
      <c r="C13" s="4" t="inlineStr">
        <is>
          <t>1.2.8</t>
        </is>
      </c>
      <c r="D13" s="3" t="inlineStr">
        <is>
          <t>`curl -I http://localhost:8766/js/core/legal-bilan.js`</t>
        </is>
      </c>
      <c r="E13" s="3" t="inlineStr">
        <is>
          <t>HTTP 200 + ~9.2 KB</t>
        </is>
      </c>
      <c r="F13" s="3" t="inlineStr">
        <is>
          <t>Sortie curl</t>
        </is>
      </c>
      <c r="G13" s="3" t="inlineStr">
        <is>
          <t>404 / 5xx</t>
        </is>
      </c>
      <c r="H13" s="4" t="inlineStr"/>
      <c r="I13" s="3" t="inlineStr"/>
      <c r="J13" s="4" t="n">
        <v>1</v>
      </c>
    </row>
    <row r="14" ht="32" customHeight="1">
      <c r="A14" s="3" t="inlineStr">
        <is>
          <t>1. AUTO</t>
        </is>
      </c>
      <c r="B14" s="3" t="inlineStr">
        <is>
          <t>1.2 HTTP Modules</t>
        </is>
      </c>
      <c r="C14" s="4" t="inlineStr">
        <is>
          <t>1.2.9</t>
        </is>
      </c>
      <c r="D14" s="3" t="inlineStr">
        <is>
          <t>`curl -I http://localhost:8766/js/core/rgpd.js`</t>
        </is>
      </c>
      <c r="E14" s="3" t="inlineStr">
        <is>
          <t>HTTP 200 + ~9.1 KB</t>
        </is>
      </c>
      <c r="F14" s="3" t="inlineStr">
        <is>
          <t>Sortie curl</t>
        </is>
      </c>
      <c r="G14" s="3" t="inlineStr">
        <is>
          <t>404 / 5xx</t>
        </is>
      </c>
      <c r="H14" s="4" t="inlineStr"/>
      <c r="I14" s="3" t="inlineStr"/>
      <c r="J14" s="4" t="n">
        <v>1</v>
      </c>
    </row>
    <row r="15" ht="32" customHeight="1">
      <c r="A15" s="3" t="inlineStr">
        <is>
          <t>1. AUTO</t>
        </is>
      </c>
      <c r="B15" s="3" t="inlineStr">
        <is>
          <t>1.2 HTTP Modules</t>
        </is>
      </c>
      <c r="C15" s="4" t="inlineStr">
        <is>
          <t>1.2.10</t>
        </is>
      </c>
      <c r="D15" s="3" t="inlineStr">
        <is>
          <t>`curl -I http://localhost:8766/js/core/export-comptable.js`</t>
        </is>
      </c>
      <c r="E15" s="3" t="inlineStr">
        <is>
          <t>HTTP 200 + ~9.2 KB</t>
        </is>
      </c>
      <c r="F15" s="3" t="inlineStr">
        <is>
          <t>Sortie curl</t>
        </is>
      </c>
      <c r="G15" s="3" t="inlineStr">
        <is>
          <t>404 / 5xx</t>
        </is>
      </c>
      <c r="H15" s="4" t="inlineStr"/>
      <c r="I15" s="3" t="inlineStr"/>
      <c r="J15" s="4" t="n">
        <v>1</v>
      </c>
    </row>
    <row r="16" ht="45" customHeight="1">
      <c r="A16" s="3" t="inlineStr">
        <is>
          <t>1. AUTO</t>
        </is>
      </c>
      <c r="B16" s="3" t="inlineStr">
        <is>
          <t>1.2 HTTP Modules</t>
        </is>
      </c>
      <c r="C16" s="4" t="inlineStr">
        <is>
          <t>1.2.11</t>
        </is>
      </c>
      <c r="D16" s="3" t="inlineStr">
        <is>
          <t>`curl -I http://localhost:8766/js/core/import-concurrents.js`</t>
        </is>
      </c>
      <c r="E16" s="3" t="inlineStr">
        <is>
          <t>HTTP 200 + ~10.4 KB</t>
        </is>
      </c>
      <c r="F16" s="3" t="inlineStr">
        <is>
          <t>Sortie curl</t>
        </is>
      </c>
      <c r="G16" s="3" t="inlineStr">
        <is>
          <t>404 / 5xx</t>
        </is>
      </c>
      <c r="H16" s="4" t="inlineStr"/>
      <c r="I16" s="3" t="inlineStr"/>
      <c r="J16" s="4" t="n">
        <v>1</v>
      </c>
    </row>
    <row r="17" ht="32" customHeight="1">
      <c r="A17" s="3" t="inlineStr">
        <is>
          <t>1. AUTO</t>
        </is>
      </c>
      <c r="B17" s="3" t="inlineStr">
        <is>
          <t>1.2 HTTP Modules</t>
        </is>
      </c>
      <c r="C17" s="4" t="inlineStr">
        <is>
          <t>1.2.12</t>
        </is>
      </c>
      <c r="D17" s="3" t="inlineStr">
        <is>
          <t>`curl -I http://localhost:8766/js/core/monitoring.js`</t>
        </is>
      </c>
      <c r="E17" s="3" t="inlineStr">
        <is>
          <t>HTTP 200 + ~4.9 KB</t>
        </is>
      </c>
      <c r="F17" s="3" t="inlineStr">
        <is>
          <t>Sortie curl</t>
        </is>
      </c>
      <c r="G17" s="3" t="inlineStr">
        <is>
          <t>404 / 5xx</t>
        </is>
      </c>
      <c r="H17" s="4" t="inlineStr"/>
      <c r="I17" s="3" t="inlineStr"/>
      <c r="J17" s="4" t="n">
        <v>1</v>
      </c>
    </row>
    <row r="18" ht="32" customHeight="1">
      <c r="A18" s="3" t="inlineStr">
        <is>
          <t>1. AUTO</t>
        </is>
      </c>
      <c r="B18" s="3" t="inlineStr">
        <is>
          <t>1.2 HTTP Modules</t>
        </is>
      </c>
      <c r="C18" s="4" t="inlineStr">
        <is>
          <t>1.2.13</t>
        </is>
      </c>
      <c r="D18" s="3" t="inlineStr">
        <is>
          <t>`curl -I http://localhost:8766/js/core/email-compose.js`</t>
        </is>
      </c>
      <c r="E18" s="3" t="inlineStr">
        <is>
          <t>HTTP 200 + ~19.7 KB</t>
        </is>
      </c>
      <c r="F18" s="3" t="inlineStr">
        <is>
          <t>Sortie curl</t>
        </is>
      </c>
      <c r="G18" s="3" t="inlineStr">
        <is>
          <t>404 / 5xx</t>
        </is>
      </c>
      <c r="H18" s="4" t="inlineStr"/>
      <c r="I18" s="3" t="inlineStr"/>
      <c r="J18" s="4" t="n">
        <v>1</v>
      </c>
    </row>
    <row r="19" ht="32" customHeight="1">
      <c r="A19" s="3" t="inlineStr">
        <is>
          <t>1. AUTO</t>
        </is>
      </c>
      <c r="B19" s="3" t="inlineStr">
        <is>
          <t>1.2 HTTP Modules</t>
        </is>
      </c>
      <c r="C19" s="4" t="inlineStr">
        <is>
          <t>1.2.14</t>
        </is>
      </c>
      <c r="D19" s="3" t="inlineStr">
        <is>
          <t>`curl -I http://localhost:8766/js/components/toast.js`</t>
        </is>
      </c>
      <c r="E19" s="3" t="inlineStr">
        <is>
          <t>HTTP 200 + ~1.3 KB</t>
        </is>
      </c>
      <c r="F19" s="3" t="inlineStr">
        <is>
          <t>Sortie curl</t>
        </is>
      </c>
      <c r="G19" s="3" t="inlineStr">
        <is>
          <t>404 / 5xx</t>
        </is>
      </c>
      <c r="H19" s="4" t="inlineStr"/>
      <c r="I19" s="3" t="inlineStr"/>
      <c r="J19" s="4" t="n">
        <v>1</v>
      </c>
    </row>
    <row r="20" ht="32" customHeight="1">
      <c r="A20" s="3" t="inlineStr">
        <is>
          <t>1. AUTO</t>
        </is>
      </c>
      <c r="B20" s="3" t="inlineStr">
        <is>
          <t>1.2 HTTP Modules</t>
        </is>
      </c>
      <c r="C20" s="4" t="inlineStr">
        <is>
          <t>1.2.15</t>
        </is>
      </c>
      <c r="D20" s="3" t="inlineStr">
        <is>
          <t>`curl -I http://localhost:8766/js/components/modal.js`</t>
        </is>
      </c>
      <c r="E20" s="3" t="inlineStr">
        <is>
          <t>HTTP 200 + ~1.1 KB</t>
        </is>
      </c>
      <c r="F20" s="3" t="inlineStr">
        <is>
          <t>Sortie curl</t>
        </is>
      </c>
      <c r="G20" s="3" t="inlineStr">
        <is>
          <t>404 / 5xx</t>
        </is>
      </c>
      <c r="H20" s="4" t="inlineStr"/>
      <c r="I20" s="3" t="inlineStr"/>
      <c r="J20" s="4" t="n">
        <v>1</v>
      </c>
    </row>
    <row r="21" ht="32" customHeight="1">
      <c r="A21" s="3" t="inlineStr">
        <is>
          <t>1. AUTO</t>
        </is>
      </c>
      <c r="B21" s="3" t="inlineStr">
        <is>
          <t>1.2 HTTP Modules</t>
        </is>
      </c>
      <c r="C21" s="4" t="inlineStr">
        <is>
          <t>1.2.16</t>
        </is>
      </c>
      <c r="D21" s="3" t="inlineStr">
        <is>
          <t>`curl -I http://localhost:8766/js/components/email-modal.js`</t>
        </is>
      </c>
      <c r="E21" s="3" t="inlineStr">
        <is>
          <t>HTTP 200 + ~13 KB</t>
        </is>
      </c>
      <c r="F21" s="3" t="inlineStr">
        <is>
          <t>Sortie curl</t>
        </is>
      </c>
      <c r="G21" s="3" t="inlineStr">
        <is>
          <t>404 / 5xx</t>
        </is>
      </c>
      <c r="H21" s="4" t="inlineStr"/>
      <c r="I21" s="3" t="inlineStr"/>
      <c r="J21" s="4" t="n">
        <v>1</v>
      </c>
    </row>
    <row r="22" ht="45" customHeight="1">
      <c r="A22" s="3" t="inlineStr">
        <is>
          <t>1. AUTO</t>
        </is>
      </c>
      <c r="B22" s="3" t="inlineStr">
        <is>
          <t>1.3 Console DevTools</t>
        </is>
      </c>
      <c r="C22" s="4" t="inlineStr">
        <is>
          <t>1.3.1</t>
        </is>
      </c>
      <c r="D22" s="3" t="inlineStr">
        <is>
          <t>Ouvrir Chrome → http://localhost:8766/index-test.html ; F12 ; tab Console</t>
        </is>
      </c>
      <c r="E22" s="3" t="inlineStr">
        <is>
          <t>Zéro erreur rouge</t>
        </is>
      </c>
      <c r="F22" s="3" t="inlineStr">
        <is>
          <t>DevTools Console</t>
        </is>
      </c>
      <c r="G22" s="3" t="inlineStr">
        <is>
          <t>Erreur JS bloquante → fix avant suite</t>
        </is>
      </c>
      <c r="H22" s="4" t="inlineStr"/>
      <c r="I22" s="3" t="inlineStr"/>
      <c r="J22" s="4" t="n">
        <v>2</v>
      </c>
    </row>
    <row r="23" ht="45" customHeight="1">
      <c r="A23" s="3" t="inlineStr">
        <is>
          <t>1. AUTO</t>
        </is>
      </c>
      <c r="B23" s="3" t="inlineStr">
        <is>
          <t>1.3 Console DevTools</t>
        </is>
      </c>
      <c r="C23" s="4" t="inlineStr">
        <is>
          <t>1.3.2</t>
        </is>
      </c>
      <c r="D23" s="3" t="inlineStr">
        <is>
          <t>Vérifier message vert `[main.js] Sprint 3D chargé - 38 helpers...`</t>
        </is>
      </c>
      <c r="E23" s="3" t="inlineStr">
        <is>
          <t>Présence du log info</t>
        </is>
      </c>
      <c r="F23" s="3" t="inlineStr">
        <is>
          <t>Console</t>
        </is>
      </c>
      <c r="G23" s="3" t="inlineStr">
        <is>
          <t>Absent → module ES n'a pas chargé (vérifier Network)</t>
        </is>
      </c>
      <c r="H23" s="4" t="inlineStr"/>
      <c r="I23" s="3" t="inlineStr"/>
      <c r="J23" s="4" t="n">
        <v>1</v>
      </c>
    </row>
    <row r="24" ht="32" customHeight="1">
      <c r="A24" s="3" t="inlineStr">
        <is>
          <t>1. AUTO</t>
        </is>
      </c>
      <c r="B24" s="3" t="inlineStr">
        <is>
          <t>1.3 Console DevTools</t>
        </is>
      </c>
      <c r="C24" s="4" t="inlineStr">
        <is>
          <t>1.3.3</t>
        </is>
      </c>
      <c r="D24" s="3" t="inlineStr">
        <is>
          <t>Onglet Network → vérifier `main.js` status 200 type=module</t>
        </is>
      </c>
      <c r="E24" s="3" t="inlineStr">
        <is>
          <t>Affiché en vert</t>
        </is>
      </c>
      <c r="F24" s="3" t="inlineStr">
        <is>
          <t>DevTools Network</t>
        </is>
      </c>
      <c r="G24" s="3" t="inlineStr">
        <is>
          <t>Rouge → CSP/CORS/404</t>
        </is>
      </c>
      <c r="H24" s="4" t="inlineStr"/>
      <c r="I24" s="3" t="inlineStr"/>
      <c r="J24" s="4" t="n">
        <v>1</v>
      </c>
    </row>
    <row r="25" ht="32" customHeight="1">
      <c r="A25" s="3" t="inlineStr">
        <is>
          <t>1. AUTO</t>
        </is>
      </c>
      <c r="B25" s="3" t="inlineStr">
        <is>
          <t>1.3 Console DevTools</t>
        </is>
      </c>
      <c r="C25" s="4" t="inlineStr">
        <is>
          <t>1.3.4</t>
        </is>
      </c>
      <c r="D25" s="3" t="inlineStr">
        <is>
          <t>Console : taper `window.__IMMOTRACK_MODULE_BOOTSTRAP__`</t>
        </is>
      </c>
      <c r="E25" s="3" t="inlineStr">
        <is>
          <t>Objet `{phase, version, loadedAt, helpersExposed: [...]}`</t>
        </is>
      </c>
      <c r="F25" s="3" t="inlineStr">
        <is>
          <t>Console</t>
        </is>
      </c>
      <c r="G25" s="3" t="inlineStr">
        <is>
          <t>`undefined` → main.js n'a pas exécuté</t>
        </is>
      </c>
      <c r="H25" s="4" t="inlineStr"/>
      <c r="I25" s="3" t="inlineStr"/>
      <c r="J25" s="4" t="n">
        <v>1</v>
      </c>
    </row>
    <row r="26" ht="45" customHeight="1">
      <c r="A26" s="3" t="inlineStr">
        <is>
          <t>1. AUTO</t>
        </is>
      </c>
      <c r="B26" s="3" t="inlineStr">
        <is>
          <t>1.3 Console DevTools</t>
        </is>
      </c>
      <c r="C26" s="4" t="inlineStr">
        <is>
          <t>1.3.5</t>
        </is>
      </c>
      <c r="D26" s="3" t="inlineStr">
        <is>
          <t>`window.__IMMOTRACK_MODULE_BOOTSTRAP__.helpersExposed.length`</t>
        </is>
      </c>
      <c r="E26" s="3" t="inlineStr">
        <is>
          <t>Nombre ≥ 38</t>
        </is>
      </c>
      <c r="F26" s="3" t="inlineStr">
        <is>
          <t>Console</t>
        </is>
      </c>
      <c r="G26" s="3" t="inlineStr">
        <is>
          <t>&lt; 38 → vérifier imports manquants</t>
        </is>
      </c>
      <c r="H26" s="4" t="inlineStr"/>
      <c r="I26" s="3" t="inlineStr"/>
      <c r="J26" s="4" t="n">
        <v>1</v>
      </c>
    </row>
    <row r="27" ht="32" customHeight="1">
      <c r="A27" s="3" t="inlineStr">
        <is>
          <t>1. AUTO</t>
        </is>
      </c>
      <c r="B27" s="3" t="inlineStr">
        <is>
          <t>1.3 Console DevTools</t>
        </is>
      </c>
      <c r="C27" s="4" t="inlineStr">
        <is>
          <t>1.3.6</t>
        </is>
      </c>
      <c r="D27" s="3" t="inlineStr">
        <is>
          <t>`typeof window.escHtml === 'function'`</t>
        </is>
      </c>
      <c r="E27" s="3" t="inlineStr">
        <is>
          <t>`true`</t>
        </is>
      </c>
      <c r="F27" s="3" t="inlineStr">
        <is>
          <t>Console</t>
        </is>
      </c>
      <c r="G27" s="3" t="inlineStr">
        <is>
          <t>`false` → bug import core/utils</t>
        </is>
      </c>
      <c r="H27" s="4" t="inlineStr"/>
      <c r="I27" s="3" t="inlineStr"/>
      <c r="J27" s="4" t="n">
        <v>1</v>
      </c>
    </row>
    <row r="28" ht="32" customHeight="1">
      <c r="A28" s="3" t="inlineStr">
        <is>
          <t>1. AUTO</t>
        </is>
      </c>
      <c r="B28" s="3" t="inlineStr">
        <is>
          <t>1.3 Console DevTools</t>
        </is>
      </c>
      <c r="C28" s="4" t="inlineStr">
        <is>
          <t>1.3.7</t>
        </is>
      </c>
      <c r="D28" s="3" t="inlineStr">
        <is>
          <t>`typeof window._compute2044 === 'function'`</t>
        </is>
      </c>
      <c r="E28" s="3" t="inlineStr">
        <is>
          <t>`true`</t>
        </is>
      </c>
      <c r="F28" s="3" t="inlineStr">
        <is>
          <t>Console</t>
        </is>
      </c>
      <c r="G28" s="3" t="inlineStr">
        <is>
          <t>`false` → bug import legal-2044</t>
        </is>
      </c>
      <c r="H28" s="4" t="inlineStr"/>
      <c r="I28" s="3" t="inlineStr"/>
      <c r="J28" s="4" t="n">
        <v>1</v>
      </c>
    </row>
    <row r="29" ht="32" customHeight="1">
      <c r="A29" s="3" t="inlineStr">
        <is>
          <t>1. AUTO</t>
        </is>
      </c>
      <c r="B29" s="3" t="inlineStr">
        <is>
          <t>1.3 Console DevTools</t>
        </is>
      </c>
      <c r="C29" s="4" t="inlineStr">
        <is>
          <t>1.3.8</t>
        </is>
      </c>
      <c r="D29" s="3" t="inlineStr">
        <is>
          <t>`typeof window._auditEntry === 'function'`</t>
        </is>
      </c>
      <c r="E29" s="3" t="inlineStr">
        <is>
          <t>`true`</t>
        </is>
      </c>
      <c r="F29" s="3" t="inlineStr">
        <is>
          <t>Console</t>
        </is>
      </c>
      <c r="G29" s="3" t="inlineStr">
        <is>
          <t>`false` → bug import audit-trail</t>
        </is>
      </c>
      <c r="H29" s="4" t="inlineStr"/>
      <c r="I29" s="3" t="inlineStr"/>
      <c r="J29" s="4" t="n">
        <v>1</v>
      </c>
    </row>
    <row r="30" ht="32" customHeight="1">
      <c r="A30" s="2" t="inlineStr">
        <is>
          <t>2. SÉCU XSS</t>
        </is>
      </c>
    </row>
    <row r="31" ht="32" customHeight="1">
      <c r="A31" s="3" t="inlineStr">
        <is>
          <t>2. SÉCU XSS</t>
        </is>
      </c>
      <c r="B31" s="3" t="inlineStr">
        <is>
          <t>2.1 Helpers échappement</t>
        </is>
      </c>
      <c r="C31" s="4" t="inlineStr">
        <is>
          <t>2.1.2</t>
        </is>
      </c>
      <c r="D31" s="3" t="inlineStr">
        <is>
          <t>Console : `escHtml('"')`</t>
        </is>
      </c>
      <c r="E31" s="3" t="inlineStr">
        <is>
          <t>Retour : `"&amp;quot;"`</t>
        </is>
      </c>
      <c r="F31" s="3" t="inlineStr">
        <is>
          <t>Console</t>
        </is>
      </c>
      <c r="G31" s="3" t="inlineStr">
        <is>
          <t>Valeur différente</t>
        </is>
      </c>
      <c r="H31" s="4" t="inlineStr"/>
      <c r="I31" s="3" t="inlineStr"/>
      <c r="J31" s="4" t="n">
        <v>1</v>
      </c>
    </row>
    <row r="32" ht="32" customHeight="1">
      <c r="A32" s="3" t="inlineStr">
        <is>
          <t>2. SÉCU XSS</t>
        </is>
      </c>
      <c r="B32" s="3" t="inlineStr">
        <is>
          <t>2.1 Helpers échappement</t>
        </is>
      </c>
      <c r="C32" s="4" t="inlineStr">
        <is>
          <t>2.1.3</t>
        </is>
      </c>
      <c r="D32" s="3" t="inlineStr">
        <is>
          <t>Console : `escHtml("'")`</t>
        </is>
      </c>
      <c r="E32" s="3" t="inlineStr">
        <is>
          <t>Retour : `"&amp;#39;"`</t>
        </is>
      </c>
      <c r="F32" s="3" t="inlineStr">
        <is>
          <t>Console</t>
        </is>
      </c>
      <c r="G32" s="3" t="inlineStr">
        <is>
          <t>Valeur différente</t>
        </is>
      </c>
      <c r="H32" s="4" t="inlineStr"/>
      <c r="I32" s="3" t="inlineStr"/>
      <c r="J32" s="4" t="n">
        <v>1</v>
      </c>
    </row>
    <row r="33" ht="32" customHeight="1">
      <c r="A33" s="3" t="inlineStr">
        <is>
          <t>2. SÉCU XSS</t>
        </is>
      </c>
      <c r="B33" s="3" t="inlineStr">
        <is>
          <t>2.1 Helpers échappement</t>
        </is>
      </c>
      <c r="C33" s="4" t="inlineStr">
        <is>
          <t>2.1.4</t>
        </is>
      </c>
      <c r="D33" s="3" t="inlineStr">
        <is>
          <t>Console : `escHtml('&amp;')`</t>
        </is>
      </c>
      <c r="E33" s="3" t="inlineStr">
        <is>
          <t>Retour : `"&amp;amp;"`</t>
        </is>
      </c>
      <c r="F33" s="3" t="inlineStr">
        <is>
          <t>Console</t>
        </is>
      </c>
      <c r="G33" s="3" t="inlineStr">
        <is>
          <t>Valeur différente</t>
        </is>
      </c>
      <c r="H33" s="4" t="inlineStr"/>
      <c r="I33" s="3" t="inlineStr"/>
      <c r="J33" s="4" t="n">
        <v>1</v>
      </c>
    </row>
    <row r="34" ht="32" customHeight="1">
      <c r="A34" s="3" t="inlineStr">
        <is>
          <t>2. SÉCU XSS</t>
        </is>
      </c>
      <c r="B34" s="3" t="inlineStr">
        <is>
          <t>2.1 Helpers échappement</t>
        </is>
      </c>
      <c r="C34" s="4" t="inlineStr">
        <is>
          <t>2.1.5</t>
        </is>
      </c>
      <c r="D34" s="3" t="inlineStr">
        <is>
          <t>Console : `escHtml(null)`</t>
        </is>
      </c>
      <c r="E34" s="3" t="inlineStr">
        <is>
          <t>Retour : `""` (string vide)</t>
        </is>
      </c>
      <c r="F34" s="3" t="inlineStr">
        <is>
          <t>Console</t>
        </is>
      </c>
      <c r="G34" s="3" t="inlineStr">
        <is>
          <t>Throw ou autre valeur</t>
        </is>
      </c>
      <c r="H34" s="4" t="inlineStr"/>
      <c r="I34" s="3" t="inlineStr"/>
      <c r="J34" s="4" t="n">
        <v>1</v>
      </c>
    </row>
    <row r="35" ht="32" customHeight="1">
      <c r="A35" s="3" t="inlineStr">
        <is>
          <t>2. SÉCU XSS</t>
        </is>
      </c>
      <c r="B35" s="3" t="inlineStr">
        <is>
          <t>2.1 Helpers échappement</t>
        </is>
      </c>
      <c r="C35" s="4" t="inlineStr">
        <is>
          <t>2.1.6</t>
        </is>
      </c>
      <c r="D35" s="3" t="inlineStr">
        <is>
          <t>Console : `escHtml(undefined)`</t>
        </is>
      </c>
      <c r="E35" s="3" t="inlineStr">
        <is>
          <t>Retour : `""`</t>
        </is>
      </c>
      <c r="F35" s="3" t="inlineStr">
        <is>
          <t>Console</t>
        </is>
      </c>
      <c r="G35" s="3" t="inlineStr">
        <is>
          <t>Throw ou autre valeur</t>
        </is>
      </c>
      <c r="H35" s="4" t="inlineStr"/>
      <c r="I35" s="3" t="inlineStr"/>
      <c r="J35" s="4" t="n">
        <v>1</v>
      </c>
    </row>
    <row r="36" ht="32" customHeight="1">
      <c r="A36" s="3" t="inlineStr">
        <is>
          <t>2. SÉCU XSS</t>
        </is>
      </c>
      <c r="B36" s="3" t="inlineStr">
        <is>
          <t>2.1 Helpers échappement</t>
        </is>
      </c>
      <c r="C36" s="4" t="inlineStr">
        <is>
          <t>2.1.7</t>
        </is>
      </c>
      <c r="D36" s="3" t="inlineStr">
        <is>
          <t>Console : `` _h`&lt;b&gt;${'&lt;script&gt;'}&lt;/b&gt;` ``</t>
        </is>
      </c>
      <c r="E36" s="3" t="inlineStr">
        <is>
          <t>Retour : `"&lt;b&gt;&amp;lt;script&amp;gt;&lt;/b&gt;"`</t>
        </is>
      </c>
      <c r="F36" s="3" t="inlineStr">
        <is>
          <t>Console</t>
        </is>
      </c>
      <c r="G36" s="3" t="inlineStr">
        <is>
          <t>`&lt;script&gt;` non échappé → bug _h</t>
        </is>
      </c>
      <c r="H36" s="4" t="inlineStr"/>
      <c r="I36" s="3" t="inlineStr"/>
      <c r="J36" s="4" t="n">
        <v>1</v>
      </c>
    </row>
    <row r="37" ht="32" customHeight="1">
      <c r="A37" s="3" t="inlineStr">
        <is>
          <t>2. SÉCU XSS</t>
        </is>
      </c>
      <c r="B37" s="3" t="inlineStr">
        <is>
          <t>2.1 Helpers échappement</t>
        </is>
      </c>
      <c r="C37" s="4" t="inlineStr">
        <is>
          <t>2.1.8</t>
        </is>
      </c>
      <c r="D37" s="3" t="inlineStr">
        <is>
          <t>Console : `` _h`&lt;b&gt;${_raw('&lt;strong&gt;OK&lt;/strong&gt;')}&lt;/b&gt;` ``</t>
        </is>
      </c>
      <c r="E37" s="3" t="inlineStr">
        <is>
          <t>Retour : `"&lt;b&gt;&lt;strong&gt;OK&lt;/strong&gt;&lt;/b&gt;"`</t>
        </is>
      </c>
      <c r="F37" s="3" t="inlineStr">
        <is>
          <t>Console</t>
        </is>
      </c>
      <c r="G37" s="3" t="inlineStr">
        <is>
          <t>Strong échappé → bug _raw</t>
        </is>
      </c>
      <c r="H37" s="4" t="inlineStr"/>
      <c r="I37" s="3" t="inlineStr"/>
      <c r="J37" s="4" t="n">
        <v>1</v>
      </c>
    </row>
    <row r="38" ht="32" customHeight="1">
      <c r="A38" s="3" t="inlineStr">
        <is>
          <t>2. SÉCU XSS</t>
        </is>
      </c>
      <c r="B38" s="3" t="inlineStr">
        <is>
          <t>2.2 XSS entité</t>
        </is>
      </c>
      <c r="C38" s="4" t="inlineStr">
        <is>
          <t>2.2.1</t>
        </is>
      </c>
      <c r="D38" s="3" t="inlineStr">
        <is>
          <t>Paramètres → Bailleurs → Ajouter entité</t>
        </is>
      </c>
      <c r="E38" s="3" t="inlineStr">
        <is>
          <t>Modale `#ov-ent` s'ouvre</t>
        </is>
      </c>
      <c r="F38" s="3" t="inlineStr">
        <is>
          <t>Visuel UI</t>
        </is>
      </c>
      <c r="G38" s="3" t="inlineStr">
        <is>
          <t>Modale ne s'ouvre pas</t>
        </is>
      </c>
      <c r="H38" s="4" t="inlineStr"/>
      <c r="I38" s="3" t="inlineStr"/>
      <c r="J38" s="4" t="n">
        <v>1</v>
      </c>
    </row>
    <row r="39" ht="45" customHeight="1">
      <c r="A39" s="3" t="inlineStr">
        <is>
          <t>2. SÉCU XSS</t>
        </is>
      </c>
      <c r="B39" s="3" t="inlineStr">
        <is>
          <t>2.2 XSS entité</t>
        </is>
      </c>
      <c r="C39" s="4" t="inlineStr">
        <is>
          <t>2.2.2</t>
        </is>
      </c>
      <c r="D39" s="3" t="inlineStr">
        <is>
          <t>Nom = `&lt;img src=x onerror="window.__xss=1"&gt;` ; type Particulier ; sauver</t>
        </is>
      </c>
      <c r="E39" s="3" t="inlineStr">
        <is>
          <t>Champ accepte ; toast "Entité enregistrée"</t>
        </is>
      </c>
      <c r="F39" s="3" t="inlineStr">
        <is>
          <t>Toast + Console</t>
        </is>
      </c>
      <c r="G39" s="3" t="inlineStr">
        <is>
          <t>Erreur JS bloquante</t>
        </is>
      </c>
      <c r="H39" s="4" t="inlineStr"/>
      <c r="I39" s="3" t="inlineStr"/>
      <c r="J39" s="4" t="n">
        <v>2</v>
      </c>
    </row>
    <row r="40" ht="32" customHeight="1">
      <c r="A40" s="3" t="inlineStr">
        <is>
          <t>2. SÉCU XSS</t>
        </is>
      </c>
      <c r="B40" s="3" t="inlineStr">
        <is>
          <t>2.2 XSS entité</t>
        </is>
      </c>
      <c r="C40" s="4" t="inlineStr">
        <is>
          <t>2.2.3</t>
        </is>
      </c>
      <c r="D40" s="3" t="inlineStr">
        <is>
          <t>Aller Dashboard</t>
        </is>
      </c>
      <c r="E40" s="3" t="inlineStr">
        <is>
          <t>KPIs affichés normalement, pas d'alert</t>
        </is>
      </c>
      <c r="F40" s="3" t="inlineStr">
        <is>
          <t>Visuel + Console</t>
        </is>
      </c>
      <c r="G40" s="3" t="inlineStr">
        <is>
          <t>Alert/popup déclenchée → XSS active BLOQUANT</t>
        </is>
      </c>
      <c r="H40" s="4" t="inlineStr"/>
      <c r="I40" s="3" t="inlineStr"/>
      <c r="J40" s="4" t="n">
        <v>1</v>
      </c>
    </row>
    <row r="41" ht="32" customHeight="1">
      <c r="A41" s="3" t="inlineStr">
        <is>
          <t>2. SÉCU XSS</t>
        </is>
      </c>
      <c r="B41" s="3" t="inlineStr">
        <is>
          <t>2.2 XSS entité</t>
        </is>
      </c>
      <c r="C41" s="4" t="inlineStr">
        <is>
          <t>2.2.4</t>
        </is>
      </c>
      <c r="D41" s="3" t="inlineStr">
        <is>
          <t>Console : `window.__xss`</t>
        </is>
      </c>
      <c r="E41" s="3" t="inlineStr">
        <is>
          <t>`undefined`</t>
        </is>
      </c>
      <c r="F41" s="3" t="inlineStr">
        <is>
          <t>Console</t>
        </is>
      </c>
      <c r="G41" s="3" t="inlineStr">
        <is>
          <t>`1` → XSS exécuté, BLOQUANT V1</t>
        </is>
      </c>
      <c r="H41" s="4" t="inlineStr"/>
      <c r="I41" s="3" t="inlineStr"/>
      <c r="J41" s="4" t="n">
        <v>1</v>
      </c>
    </row>
    <row r="42" ht="45" customHeight="1">
      <c r="A42" s="3" t="inlineStr">
        <is>
          <t>2. SÉCU XSS</t>
        </is>
      </c>
      <c r="B42" s="3" t="inlineStr">
        <is>
          <t>2.2 XSS entité</t>
        </is>
      </c>
      <c r="C42" s="4" t="inlineStr">
        <is>
          <t>2.2.5</t>
        </is>
      </c>
      <c r="D42" s="3" t="inlineStr">
        <is>
          <t>Console : `document.body.innerHTML.includes('&lt;img src=x onerror')`</t>
        </is>
      </c>
      <c r="E42" s="3" t="inlineStr">
        <is>
          <t>`false`</t>
        </is>
      </c>
      <c r="F42" s="3" t="inlineStr">
        <is>
          <t>Console</t>
        </is>
      </c>
      <c r="G42" s="3" t="inlineStr">
        <is>
          <t>`true` → injection brute non échappée</t>
        </is>
      </c>
      <c r="H42" s="4" t="inlineStr"/>
      <c r="I42" s="3" t="inlineStr"/>
      <c r="J42" s="4" t="n">
        <v>1</v>
      </c>
    </row>
    <row r="43" ht="45" customHeight="1">
      <c r="A43" s="3" t="inlineStr">
        <is>
          <t>2. SÉCU XSS</t>
        </is>
      </c>
      <c r="B43" s="3" t="inlineStr">
        <is>
          <t>2.3 XSS catégorie</t>
        </is>
      </c>
      <c r="C43" s="4" t="inlineStr">
        <is>
          <t>2.3.1</t>
        </is>
      </c>
      <c r="D43" s="3" t="inlineStr">
        <is>
          <t>Paramètres → Catégories → Ajouter avec nom `&lt;script&gt;window.__xss2=1&lt;/script&gt;`</t>
        </is>
      </c>
      <c r="E43" s="3" t="inlineStr">
        <is>
          <t>Acceptée OU refusée selon validation</t>
        </is>
      </c>
      <c r="F43" s="3" t="inlineStr">
        <is>
          <t>Toast</t>
        </is>
      </c>
      <c r="G43" s="3" t="inlineStr">
        <is>
          <t>Erreur bloquante</t>
        </is>
      </c>
      <c r="H43" s="4" t="inlineStr"/>
      <c r="I43" s="3" t="inlineStr"/>
      <c r="J43" s="4" t="n">
        <v>2</v>
      </c>
    </row>
    <row r="44" ht="32" customHeight="1">
      <c r="A44" s="3" t="inlineStr">
        <is>
          <t>2. SÉCU XSS</t>
        </is>
      </c>
      <c r="B44" s="3" t="inlineStr">
        <is>
          <t>2.3 XSS catégorie</t>
        </is>
      </c>
      <c r="C44" s="4" t="inlineStr">
        <is>
          <t>2.3.2</t>
        </is>
      </c>
      <c r="D44" s="3" t="inlineStr">
        <is>
          <t>Console : `window.__xss2`</t>
        </is>
      </c>
      <c r="E44" s="3" t="inlineStr">
        <is>
          <t>`undefined`</t>
        </is>
      </c>
      <c r="F44" s="3" t="inlineStr">
        <is>
          <t>Console</t>
        </is>
      </c>
      <c r="G44" s="3" t="inlineStr">
        <is>
          <t>`1` → XSS, BLOQUANT</t>
        </is>
      </c>
      <c r="H44" s="4" t="inlineStr"/>
      <c r="I44" s="3" t="inlineStr"/>
      <c r="J44" s="4" t="n">
        <v>1</v>
      </c>
    </row>
    <row r="45" ht="45" customHeight="1">
      <c r="A45" s="3" t="inlineStr">
        <is>
          <t>2. SÉCU XSS</t>
        </is>
      </c>
      <c r="B45" s="3" t="inlineStr">
        <is>
          <t>2.4 XSS locataire (PII)</t>
        </is>
      </c>
      <c r="C45" s="4" t="inlineStr">
        <is>
          <t>2.4.1</t>
        </is>
      </c>
      <c r="D45" s="3" t="inlineStr">
        <is>
          <t>Créer logement F-XSS + bail locataire `&lt;img src=x onerror=alert(1)&gt;`</t>
        </is>
      </c>
      <c r="E45" s="3" t="inlineStr">
        <is>
          <t>Création OK</t>
        </is>
      </c>
      <c r="F45" s="3" t="inlineStr">
        <is>
          <t>Toast</t>
        </is>
      </c>
      <c r="G45" s="3" t="inlineStr">
        <is>
          <t>Erreur bloquante</t>
        </is>
      </c>
      <c r="H45" s="4" t="inlineStr"/>
      <c r="I45" s="3" t="inlineStr"/>
      <c r="J45" s="4" t="n">
        <v>2</v>
      </c>
    </row>
    <row r="46" ht="32" customHeight="1">
      <c r="A46" s="3" t="inlineStr">
        <is>
          <t>2. SÉCU XSS</t>
        </is>
      </c>
      <c r="B46" s="3" t="inlineStr">
        <is>
          <t>2.4 XSS locataire (PII)</t>
        </is>
      </c>
      <c r="C46" s="4" t="inlineStr">
        <is>
          <t>2.4.2</t>
        </is>
      </c>
      <c r="D46" s="3" t="inlineStr">
        <is>
          <t>Naviguer Dashboard / Quittances / Mouvements</t>
        </is>
      </c>
      <c r="E46" s="3" t="inlineStr">
        <is>
          <t>Aucun alert/popup</t>
        </is>
      </c>
      <c r="F46" s="3" t="inlineStr">
        <is>
          <t>Visuel + Console</t>
        </is>
      </c>
      <c r="G46" s="3" t="inlineStr">
        <is>
          <t>Alert déclenchée → BLOQUANT</t>
        </is>
      </c>
      <c r="H46" s="4" t="inlineStr"/>
      <c r="I46" s="3" t="inlineStr"/>
      <c r="J46" s="4" t="n">
        <v>2</v>
      </c>
    </row>
    <row r="47" ht="32" customHeight="1">
      <c r="A47" s="3" t="inlineStr">
        <is>
          <t>2. SÉCU XSS</t>
        </is>
      </c>
      <c r="B47" s="3" t="inlineStr">
        <is>
          <t>2.5 Validation saisie</t>
        </is>
      </c>
      <c r="C47" s="4" t="inlineStr">
        <is>
          <t>2.5.1</t>
        </is>
      </c>
      <c r="D47" s="3" t="inlineStr">
        <is>
          <t>Créer logement avec ref `&lt;script&gt;`</t>
        </is>
      </c>
      <c r="E47" s="3" t="inlineStr">
        <is>
          <t>Toast erreur "Référence invalide", logement non créé</t>
        </is>
      </c>
      <c r="F47" s="3" t="inlineStr">
        <is>
          <t>Toast</t>
        </is>
      </c>
      <c r="G47" s="3" t="inlineStr">
        <is>
          <t>Logement créé avec ref invalide</t>
        </is>
      </c>
      <c r="H47" s="4" t="inlineStr"/>
      <c r="I47" s="3" t="inlineStr"/>
      <c r="J47" s="4" t="n">
        <v>1</v>
      </c>
    </row>
    <row r="48" ht="32" customHeight="1">
      <c r="A48" s="3" t="inlineStr">
        <is>
          <t>2. SÉCU XSS</t>
        </is>
      </c>
      <c r="B48" s="3" t="inlineStr">
        <is>
          <t>2.5 Validation saisie</t>
        </is>
      </c>
      <c r="C48" s="4" t="inlineStr">
        <is>
          <t>2.5.2</t>
        </is>
      </c>
      <c r="D48" s="3" t="inlineStr">
        <is>
          <t>Ref `F-001!@#$`</t>
        </is>
      </c>
      <c r="E48" s="3" t="inlineStr">
        <is>
          <t>Rejet (caractères dangereux)</t>
        </is>
      </c>
      <c r="F48" s="3" t="inlineStr">
        <is>
          <t>Toast</t>
        </is>
      </c>
      <c r="G48" s="3" t="inlineStr">
        <is>
          <t>Accepté</t>
        </is>
      </c>
      <c r="H48" s="4" t="inlineStr"/>
      <c r="I48" s="3" t="inlineStr"/>
      <c r="J48" s="4" t="n">
        <v>1</v>
      </c>
    </row>
    <row r="49" ht="32" customHeight="1">
      <c r="A49" s="3" t="inlineStr">
        <is>
          <t>2. SÉCU XSS</t>
        </is>
      </c>
      <c r="B49" s="3" t="inlineStr">
        <is>
          <t>2.5 Validation saisie</t>
        </is>
      </c>
      <c r="C49" s="4" t="inlineStr">
        <is>
          <t>2.5.3</t>
        </is>
      </c>
      <c r="D49" s="3" t="inlineStr">
        <is>
          <t>Ref `F-001 bis` (espace + alphanum)</t>
        </is>
      </c>
      <c r="E49" s="3" t="inlineStr">
        <is>
          <t>Accepté</t>
        </is>
      </c>
      <c r="F49" s="3" t="inlineStr">
        <is>
          <t>Toast OK</t>
        </is>
      </c>
      <c r="G49" s="3" t="inlineStr">
        <is>
          <t>Rejet à tort</t>
        </is>
      </c>
      <c r="H49" s="4" t="inlineStr"/>
      <c r="I49" s="3" t="inlineStr"/>
      <c r="J49" s="4" t="n">
        <v>1</v>
      </c>
    </row>
    <row r="50" ht="32" customHeight="1">
      <c r="A50" s="3" t="inlineStr">
        <is>
          <t>2. SÉCU XSS</t>
        </is>
      </c>
      <c r="B50" s="3" t="inlineStr">
        <is>
          <t>2.5 Validation saisie</t>
        </is>
      </c>
      <c r="C50" s="4" t="inlineStr">
        <is>
          <t>2.5.4</t>
        </is>
      </c>
      <c r="D50" s="3" t="inlineStr">
        <is>
          <t>Ref `Studio-RDC_apt2/lot5`</t>
        </is>
      </c>
      <c r="E50" s="3" t="inlineStr">
        <is>
          <t>Accepté (caractères . - _ /)</t>
        </is>
      </c>
      <c r="F50" s="3" t="inlineStr">
        <is>
          <t>Toast</t>
        </is>
      </c>
      <c r="G50" s="3" t="inlineStr">
        <is>
          <t>Rejet</t>
        </is>
      </c>
      <c r="H50" s="4" t="inlineStr"/>
      <c r="I50" s="3" t="inlineStr"/>
      <c r="J50" s="4" t="n">
        <v>1</v>
      </c>
    </row>
    <row r="51" ht="32" customHeight="1">
      <c r="A51" s="3" t="inlineStr">
        <is>
          <t>2. SÉCU XSS</t>
        </is>
      </c>
      <c r="B51" s="3" t="inlineStr">
        <is>
          <t>2.5 Validation saisie</t>
        </is>
      </c>
      <c r="C51" s="4" t="inlineStr">
        <is>
          <t>2.5.5</t>
        </is>
      </c>
      <c r="D51" s="3" t="inlineStr">
        <is>
          <t>Ref de 100 caractères</t>
        </is>
      </c>
      <c r="E51" s="3" t="inlineStr">
        <is>
          <t>Rejet (max 60)</t>
        </is>
      </c>
      <c r="F51" s="3" t="inlineStr">
        <is>
          <t>Toast</t>
        </is>
      </c>
      <c r="G51" s="3" t="inlineStr">
        <is>
          <t>Accepté &gt; 60</t>
        </is>
      </c>
      <c r="H51" s="4" t="inlineStr"/>
      <c r="I51" s="3" t="inlineStr"/>
      <c r="J51" s="4" t="n">
        <v>1</v>
      </c>
    </row>
    <row r="52" ht="32" customHeight="1">
      <c r="A52" s="3" t="inlineStr">
        <is>
          <t>2. SÉCU XSS</t>
        </is>
      </c>
      <c r="B52" s="3" t="inlineStr">
        <is>
          <t>2.5 Validation saisie</t>
        </is>
      </c>
      <c r="C52" s="4" t="inlineStr">
        <is>
          <t>2.5.6</t>
        </is>
      </c>
      <c r="D52" s="3" t="inlineStr">
        <is>
          <t>HC = 99999 dans logement</t>
        </is>
      </c>
      <c r="E52" s="3" t="inlineStr">
        <is>
          <t>Confirm dialog "Loyer HC paraît excessif (&gt; 50 000 €)"</t>
        </is>
      </c>
      <c r="F52" s="3" t="inlineStr">
        <is>
          <t>Dialog</t>
        </is>
      </c>
      <c r="G52" s="3" t="inlineStr">
        <is>
          <t>Aucun warning</t>
        </is>
      </c>
      <c r="H52" s="4" t="inlineStr"/>
      <c r="I52" s="3" t="inlineStr"/>
      <c r="J52" s="4" t="n">
        <v>1</v>
      </c>
    </row>
    <row r="53" ht="32" customHeight="1">
      <c r="A53" s="3" t="inlineStr">
        <is>
          <t>2. SÉCU XSS</t>
        </is>
      </c>
      <c r="B53" s="3" t="inlineStr">
        <is>
          <t>2.5 Validation saisie</t>
        </is>
      </c>
      <c r="C53" s="4" t="inlineStr">
        <is>
          <t>2.5.7</t>
        </is>
      </c>
      <c r="D53" s="3" t="inlineStr">
        <is>
          <t>HC = 800 + CH = 1000</t>
        </is>
      </c>
      <c r="E53" s="3" t="inlineStr">
        <is>
          <t>Confirm "Charges supérieures au loyer principal"</t>
        </is>
      </c>
      <c r="F53" s="3" t="inlineStr">
        <is>
          <t>Dialog</t>
        </is>
      </c>
      <c r="G53" s="3" t="inlineStr">
        <is>
          <t>Aucun warning</t>
        </is>
      </c>
      <c r="H53" s="4" t="inlineStr"/>
      <c r="I53" s="3" t="inlineStr"/>
      <c r="J53" s="4" t="n">
        <v>1</v>
      </c>
    </row>
    <row r="54" ht="32" customHeight="1">
      <c r="A54" s="3" t="inlineStr">
        <is>
          <t>2. SÉCU XSS</t>
        </is>
      </c>
      <c r="B54" s="3" t="inlineStr">
        <is>
          <t>2.5 Validation saisie</t>
        </is>
      </c>
      <c r="C54" s="4" t="inlineStr">
        <is>
          <t>2.5.8</t>
        </is>
      </c>
      <c r="D54" s="3" t="inlineStr">
        <is>
          <t>HC = 800 + CH = 50 (normal)</t>
        </is>
      </c>
      <c r="E54" s="3" t="inlineStr">
        <is>
          <t>Aucune alerte, save normal</t>
        </is>
      </c>
      <c r="F54" s="3" t="inlineStr">
        <is>
          <t>Toast OK</t>
        </is>
      </c>
      <c r="G54" s="3" t="inlineStr">
        <is>
          <t>Warning à tort</t>
        </is>
      </c>
      <c r="H54" s="4" t="inlineStr"/>
      <c r="I54" s="3" t="inlineStr"/>
      <c r="J54" s="4" t="n">
        <v>1</v>
      </c>
    </row>
    <row r="55" ht="32" customHeight="1">
      <c r="A55" s="2" t="inlineStr">
        <is>
          <t>3. ARCHI</t>
        </is>
      </c>
    </row>
    <row r="56" ht="32" customHeight="1">
      <c r="A56" s="3" t="inlineStr">
        <is>
          <t>3. ARCHI</t>
        </is>
      </c>
      <c r="B56" s="3" t="inlineStr">
        <is>
          <t>3.1 Fichiers</t>
        </is>
      </c>
      <c r="C56" s="4" t="inlineStr">
        <is>
          <t>3.1.2</t>
        </is>
      </c>
      <c r="D56" s="3" t="inlineStr">
        <is>
          <t>Terminal : `ls js/core/`</t>
        </is>
      </c>
      <c r="E56" s="3" t="inlineStr">
        <is>
          <t>10 fichiers .js (utils, idb, audit-trail, legal-2044, legal-bilan, rgpd, export-comptable, import-concurrents, monitoring, email-compose)</t>
        </is>
      </c>
      <c r="F56" s="3" t="inlineStr">
        <is>
          <t>Sortie ls</t>
        </is>
      </c>
      <c r="G56" s="3" t="inlineStr">
        <is>
          <t>Fichier manquant ou en trop</t>
        </is>
      </c>
      <c r="H56" s="4" t="inlineStr"/>
      <c r="I56" s="3" t="inlineStr"/>
      <c r="J56" s="4" t="n">
        <v>1</v>
      </c>
    </row>
    <row r="57" ht="32" customHeight="1">
      <c r="A57" s="3" t="inlineStr">
        <is>
          <t>3. ARCHI</t>
        </is>
      </c>
      <c r="B57" s="3" t="inlineStr">
        <is>
          <t>3.1 Fichiers</t>
        </is>
      </c>
      <c r="C57" s="4" t="inlineStr">
        <is>
          <t>3.1.3</t>
        </is>
      </c>
      <c r="D57" s="3" t="inlineStr">
        <is>
          <t>Terminal : `ls js/components/`</t>
        </is>
      </c>
      <c r="E57" s="3" t="inlineStr">
        <is>
          <t>3 fichiers (toast, modal, email-modal)</t>
        </is>
      </c>
      <c r="F57" s="3" t="inlineStr">
        <is>
          <t>Sortie ls</t>
        </is>
      </c>
      <c r="G57" s="3" t="inlineStr">
        <is>
          <t>Fichier manquant</t>
        </is>
      </c>
      <c r="H57" s="4" t="inlineStr"/>
      <c r="I57" s="3" t="inlineStr"/>
      <c r="J57" s="4" t="n">
        <v>1</v>
      </c>
    </row>
    <row r="58" ht="32" customHeight="1">
      <c r="A58" s="3" t="inlineStr">
        <is>
          <t>3. ARCHI</t>
        </is>
      </c>
      <c r="B58" s="3" t="inlineStr">
        <is>
          <t>3.2 Tag git rollback</t>
        </is>
      </c>
      <c r="C58" s="4" t="inlineStr">
        <is>
          <t>3.2.1</t>
        </is>
      </c>
      <c r="D58" s="3" t="inlineStr">
        <is>
          <t>`git tag | grep pre-modular-sprint2`</t>
        </is>
      </c>
      <c r="E58" s="3" t="inlineStr">
        <is>
          <t>Affiche : `pre-modular-sprint2`</t>
        </is>
      </c>
      <c r="F58" s="3" t="inlineStr">
        <is>
          <t>Sortie git</t>
        </is>
      </c>
      <c r="G58" s="3" t="inlineStr">
        <is>
          <t>Tag absent → rollback impossible</t>
        </is>
      </c>
      <c r="H58" s="4" t="inlineStr"/>
      <c r="I58" s="3" t="inlineStr"/>
      <c r="J58" s="4" t="n">
        <v>1</v>
      </c>
    </row>
    <row r="59" ht="32" customHeight="1">
      <c r="A59" s="3" t="inlineStr">
        <is>
          <t>3. ARCHI</t>
        </is>
      </c>
      <c r="B59" s="3" t="inlineStr">
        <is>
          <t>3.3 Pattern shadow</t>
        </is>
      </c>
      <c r="C59" s="4" t="inlineStr">
        <is>
          <t>3.3.1</t>
        </is>
      </c>
      <c r="D59" s="3" t="inlineStr">
        <is>
          <t>Console : `window.escHtml === escHtml`</t>
        </is>
      </c>
      <c r="E59" s="3" t="inlineStr">
        <is>
          <t>`true`</t>
        </is>
      </c>
      <c r="F59" s="3" t="inlineStr">
        <is>
          <t>Console</t>
        </is>
      </c>
      <c r="G59" s="3" t="inlineStr">
        <is>
          <t>`false` → 2 fns différentes (pas idempotent)</t>
        </is>
      </c>
      <c r="H59" s="4" t="inlineStr"/>
      <c r="I59" s="3" t="inlineStr"/>
      <c r="J59" s="4" t="n">
        <v>1</v>
      </c>
    </row>
    <row r="60" ht="32" customHeight="1">
      <c r="A60" s="3" t="inlineStr">
        <is>
          <t>3. ARCHI</t>
        </is>
      </c>
      <c r="B60" s="3" t="inlineStr">
        <is>
          <t>3.3 Pattern shadow</t>
        </is>
      </c>
      <c r="C60" s="4" t="inlineStr">
        <is>
          <t>3.3.2</t>
        </is>
      </c>
      <c r="D60" s="3" t="inlineStr">
        <is>
          <t>Console : `window.openM === openM`</t>
        </is>
      </c>
      <c r="E60" s="3" t="inlineStr">
        <is>
          <t>`true`</t>
        </is>
      </c>
      <c r="F60" s="3" t="inlineStr">
        <is>
          <t>Console</t>
        </is>
      </c>
      <c r="G60" s="3" t="inlineStr">
        <is>
          <t>`false`</t>
        </is>
      </c>
      <c r="H60" s="4" t="inlineStr"/>
      <c r="I60" s="3" t="inlineStr"/>
      <c r="J60" s="4" t="n">
        <v>1</v>
      </c>
    </row>
    <row r="61" ht="32" customHeight="1">
      <c r="A61" s="3" t="inlineStr">
        <is>
          <t>3. ARCHI</t>
        </is>
      </c>
      <c r="B61" s="3" t="inlineStr">
        <is>
          <t>3.3 Pattern shadow</t>
        </is>
      </c>
      <c r="C61" s="4" t="inlineStr">
        <is>
          <t>3.3.3</t>
        </is>
      </c>
      <c r="D61" s="3" t="inlineStr">
        <is>
          <t>Cliquer un onclick legacy (ex bouton + Mouvement)</t>
        </is>
      </c>
      <c r="E61" s="3" t="inlineStr">
        <is>
          <t>Modale s'ouvre normalement</t>
        </is>
      </c>
      <c r="F61" s="3" t="inlineStr">
        <is>
          <t>Visuel UI</t>
        </is>
      </c>
      <c r="G61" s="3" t="inlineStr">
        <is>
          <t>Bouton inactif</t>
        </is>
      </c>
      <c r="H61" s="4" t="inlineStr"/>
      <c r="I61" s="3" t="inlineStr"/>
      <c r="J61" s="4" t="n">
        <v>1</v>
      </c>
    </row>
    <row r="62" ht="32" customHeight="1">
      <c r="A62" s="3" t="inlineStr">
        <is>
          <t>3. ARCHI</t>
        </is>
      </c>
      <c r="B62" s="3" t="inlineStr">
        <is>
          <t>3.4 Backward compat</t>
        </is>
      </c>
      <c r="C62" s="4" t="inlineStr">
        <is>
          <t>3.4.1</t>
        </is>
      </c>
      <c r="D62" s="3" t="inlineStr">
        <is>
          <t>Sidebar : Dashboard</t>
        </is>
      </c>
      <c r="E62" s="3" t="inlineStr">
        <is>
          <t>KPIs rendus, pas d'écran blanc</t>
        </is>
      </c>
      <c r="F62" s="3" t="inlineStr">
        <is>
          <t>Visuel</t>
        </is>
      </c>
      <c r="G62" s="3" t="inlineStr">
        <is>
          <t>Écran blanc / erreur JS</t>
        </is>
      </c>
      <c r="H62" s="4" t="inlineStr"/>
      <c r="I62" s="3" t="inlineStr"/>
      <c r="J62" s="4" t="n">
        <v>1</v>
      </c>
    </row>
    <row r="63" ht="32" customHeight="1">
      <c r="A63" s="3" t="inlineStr">
        <is>
          <t>3. ARCHI</t>
        </is>
      </c>
      <c r="B63" s="3" t="inlineStr">
        <is>
          <t>3.4 Backward compat</t>
        </is>
      </c>
      <c r="C63" s="4" t="inlineStr">
        <is>
          <t>3.4.2</t>
        </is>
      </c>
      <c r="D63" s="3" t="inlineStr">
        <is>
          <t>Sidebar : Biens</t>
        </is>
      </c>
      <c r="E63" s="3" t="inlineStr">
        <is>
          <t>Cards bailleurs/logements rendues</t>
        </is>
      </c>
      <c r="F63" s="3" t="inlineStr">
        <is>
          <t>Visuel</t>
        </is>
      </c>
      <c r="G63" s="3" t="inlineStr">
        <is>
          <t>Page vide / erreur</t>
        </is>
      </c>
      <c r="H63" s="4" t="inlineStr"/>
      <c r="I63" s="3" t="inlineStr"/>
      <c r="J63" s="4" t="n">
        <v>1</v>
      </c>
    </row>
    <row r="64" ht="32" customHeight="1">
      <c r="A64" s="3" t="inlineStr">
        <is>
          <t>3. ARCHI</t>
        </is>
      </c>
      <c r="B64" s="3" t="inlineStr">
        <is>
          <t>3.4 Backward compat</t>
        </is>
      </c>
      <c r="C64" s="4" t="inlineStr">
        <is>
          <t>3.4.3</t>
        </is>
      </c>
      <c r="D64" s="3" t="inlineStr">
        <is>
          <t>Sidebar : Baux</t>
        </is>
      </c>
      <c r="E64" s="3" t="inlineStr">
        <is>
          <t>Cards baux rendues</t>
        </is>
      </c>
      <c r="F64" s="3" t="inlineStr">
        <is>
          <t>Visuel</t>
        </is>
      </c>
      <c r="G64" s="3" t="inlineStr">
        <is>
          <t>Erreur</t>
        </is>
      </c>
      <c r="H64" s="4" t="inlineStr"/>
      <c r="I64" s="3" t="inlineStr"/>
      <c r="J64" s="4" t="n">
        <v>1</v>
      </c>
    </row>
    <row r="65" ht="32" customHeight="1">
      <c r="A65" s="3" t="inlineStr">
        <is>
          <t>3. ARCHI</t>
        </is>
      </c>
      <c r="B65" s="3" t="inlineStr">
        <is>
          <t>3.4 Backward compat</t>
        </is>
      </c>
      <c r="C65" s="4" t="inlineStr">
        <is>
          <t>3.4.4</t>
        </is>
      </c>
      <c r="D65" s="3" t="inlineStr">
        <is>
          <t>Sidebar : Mouvements</t>
        </is>
      </c>
      <c r="E65" s="3" t="inlineStr">
        <is>
          <t>Tableau rendu</t>
        </is>
      </c>
      <c r="F65" s="3" t="inlineStr">
        <is>
          <t>Visuel</t>
        </is>
      </c>
      <c r="G65" s="3" t="inlineStr">
        <is>
          <t>Erreur</t>
        </is>
      </c>
      <c r="H65" s="4" t="inlineStr"/>
      <c r="I65" s="3" t="inlineStr"/>
      <c r="J65" s="4" t="n">
        <v>1</v>
      </c>
    </row>
    <row r="66" ht="32" customHeight="1">
      <c r="A66" s="3" t="inlineStr">
        <is>
          <t>3. ARCHI</t>
        </is>
      </c>
      <c r="B66" s="3" t="inlineStr">
        <is>
          <t>3.4 Backward compat</t>
        </is>
      </c>
      <c r="C66" s="4" t="inlineStr">
        <is>
          <t>3.4.5</t>
        </is>
      </c>
      <c r="D66" s="3" t="inlineStr">
        <is>
          <t>Sidebar : Quittances</t>
        </is>
      </c>
      <c r="E66" s="3" t="inlineStr">
        <is>
          <t>Tableau rendu</t>
        </is>
      </c>
      <c r="F66" s="3" t="inlineStr">
        <is>
          <t>Visuel</t>
        </is>
      </c>
      <c r="G66" s="3" t="inlineStr">
        <is>
          <t>Erreur</t>
        </is>
      </c>
      <c r="H66" s="4" t="inlineStr"/>
      <c r="I66" s="3" t="inlineStr"/>
      <c r="J66" s="4" t="n">
        <v>1</v>
      </c>
    </row>
    <row r="67" ht="32" customHeight="1">
      <c r="A67" s="3" t="inlineStr">
        <is>
          <t>3. ARCHI</t>
        </is>
      </c>
      <c r="B67" s="3" t="inlineStr">
        <is>
          <t>3.4 Backward compat</t>
        </is>
      </c>
      <c r="C67" s="4" t="inlineStr">
        <is>
          <t>3.4.6</t>
        </is>
      </c>
      <c r="D67" s="3" t="inlineStr">
        <is>
          <t>Sidebar : IRL</t>
        </is>
      </c>
      <c r="E67" s="3" t="inlineStr">
        <is>
          <t>Tableau IRL rendu</t>
        </is>
      </c>
      <c r="F67" s="3" t="inlineStr">
        <is>
          <t>Visuel</t>
        </is>
      </c>
      <c r="G67" s="3" t="inlineStr">
        <is>
          <t>Erreur</t>
        </is>
      </c>
      <c r="H67" s="4" t="inlineStr"/>
      <c r="I67" s="3" t="inlineStr"/>
      <c r="J67" s="4" t="n">
        <v>1</v>
      </c>
    </row>
    <row r="68" ht="32" customHeight="1">
      <c r="A68" s="3" t="inlineStr">
        <is>
          <t>3. ARCHI</t>
        </is>
      </c>
      <c r="B68" s="3" t="inlineStr">
        <is>
          <t>3.4 Backward compat</t>
        </is>
      </c>
      <c r="C68" s="4" t="inlineStr">
        <is>
          <t>3.4.7</t>
        </is>
      </c>
      <c r="D68" s="3" t="inlineStr">
        <is>
          <t>Sidebar : Régul</t>
        </is>
      </c>
      <c r="E68" s="3" t="inlineStr">
        <is>
          <t>Cards régul rendues</t>
        </is>
      </c>
      <c r="F68" s="3" t="inlineStr">
        <is>
          <t>Visuel</t>
        </is>
      </c>
      <c r="G68" s="3" t="inlineStr">
        <is>
          <t>Erreur</t>
        </is>
      </c>
      <c r="H68" s="4" t="inlineStr"/>
      <c r="I68" s="3" t="inlineStr"/>
      <c r="J68" s="4" t="n">
        <v>1</v>
      </c>
    </row>
    <row r="69" ht="32" customHeight="1">
      <c r="A69" s="3" t="inlineStr">
        <is>
          <t>3. ARCHI</t>
        </is>
      </c>
      <c r="B69" s="3" t="inlineStr">
        <is>
          <t>3.4 Backward compat</t>
        </is>
      </c>
      <c r="C69" s="4" t="inlineStr">
        <is>
          <t>3.4.8</t>
        </is>
      </c>
      <c r="D69" s="3" t="inlineStr">
        <is>
          <t>Sidebar : EDL</t>
        </is>
      </c>
      <c r="E69" s="3" t="inlineStr">
        <is>
          <t>Liste EDL rendue</t>
        </is>
      </c>
      <c r="F69" s="3" t="inlineStr">
        <is>
          <t>Visuel</t>
        </is>
      </c>
      <c r="G69" s="3" t="inlineStr">
        <is>
          <t>Erreur</t>
        </is>
      </c>
      <c r="H69" s="4" t="inlineStr"/>
      <c r="I69" s="3" t="inlineStr"/>
      <c r="J69" s="4" t="n">
        <v>1</v>
      </c>
    </row>
    <row r="70" ht="32" customHeight="1">
      <c r="A70" s="3" t="inlineStr">
        <is>
          <t>3. ARCHI</t>
        </is>
      </c>
      <c r="B70" s="3" t="inlineStr">
        <is>
          <t>3.4 Backward compat</t>
        </is>
      </c>
      <c r="C70" s="4" t="inlineStr">
        <is>
          <t>3.4.9</t>
        </is>
      </c>
      <c r="D70" s="3" t="inlineStr">
        <is>
          <t>Sidebar : Paramètres</t>
        </is>
      </c>
      <c r="E70" s="3" t="inlineStr">
        <is>
          <t>Sections rendues</t>
        </is>
      </c>
      <c r="F70" s="3" t="inlineStr">
        <is>
          <t>Visuel</t>
        </is>
      </c>
      <c r="G70" s="3" t="inlineStr">
        <is>
          <t>Erreur</t>
        </is>
      </c>
      <c r="H70" s="4" t="inlineStr"/>
      <c r="I70" s="3" t="inlineStr"/>
      <c r="J70" s="4" t="n">
        <v>1</v>
      </c>
    </row>
    <row r="71" ht="32" customHeight="1">
      <c r="A71" s="3" t="inlineStr">
        <is>
          <t>3. ARCHI</t>
        </is>
      </c>
      <c r="B71" s="3" t="inlineStr">
        <is>
          <t>3.4 Backward compat</t>
        </is>
      </c>
      <c r="C71" s="4" t="inlineStr">
        <is>
          <t>3.4.10</t>
        </is>
      </c>
      <c r="D71" s="3" t="inlineStr">
        <is>
          <t>Sidebar : Export — NOUVELLES cartes</t>
        </is>
      </c>
      <c r="E71" s="3" t="inlineStr">
        <is>
          <t>Cartes RGPD + Aide 2044 + Bilan annuel + FEC + Compta visibles</t>
        </is>
      </c>
      <c r="F71" s="3" t="inlineStr">
        <is>
          <t>Visuel</t>
        </is>
      </c>
      <c r="G71" s="3" t="inlineStr">
        <is>
          <t>Cartes manquantes → main.js pas chargé</t>
        </is>
      </c>
      <c r="H71" s="4" t="inlineStr"/>
      <c r="I71" s="3" t="inlineStr"/>
      <c r="J71" s="4" t="n">
        <v>2</v>
      </c>
    </row>
    <row r="72" ht="32" customHeight="1">
      <c r="A72" s="2" t="inlineStr">
        <is>
          <t>4. CONFORMITÉ</t>
        </is>
      </c>
    </row>
    <row r="73" ht="32" customHeight="1">
      <c r="A73" s="3" t="inlineStr">
        <is>
          <t>4. CONFORMITÉ</t>
        </is>
      </c>
      <c r="B73" s="3" t="inlineStr">
        <is>
          <t>4.1 AUDIT-TRAIL</t>
        </is>
      </c>
      <c r="C73" s="4" t="inlineStr">
        <is>
          <t>4.1.2</t>
        </is>
      </c>
      <c r="D73" s="3" t="inlineStr">
        <is>
          <t>Console : `DB.params.userName`</t>
        </is>
      </c>
      <c r="E73" s="3" t="inlineStr">
        <is>
          <t>`"Didier"`</t>
        </is>
      </c>
      <c r="F73" s="3" t="inlineStr">
        <is>
          <t>Console</t>
        </is>
      </c>
      <c r="G73" s="3" t="inlineStr">
        <is>
          <t>Valeur différente ou undefined</t>
        </is>
      </c>
      <c r="H73" s="4" t="inlineStr"/>
      <c r="I73" s="3" t="inlineStr"/>
      <c r="J73" s="4" t="n">
        <v>1</v>
      </c>
    </row>
    <row r="74" ht="32" customHeight="1">
      <c r="A74" s="3" t="inlineStr">
        <is>
          <t>4. CONFORMITÉ</t>
        </is>
      </c>
      <c r="B74" s="3" t="inlineStr">
        <is>
          <t>4.1 AUDIT-TRAIL</t>
        </is>
      </c>
      <c r="C74" s="4" t="inlineStr">
        <is>
          <t>4.1.3</t>
        </is>
      </c>
      <c r="D74" s="3" t="inlineStr">
        <is>
          <t>Console : `DB.params.userId`</t>
        </is>
      </c>
      <c r="E74" s="3" t="inlineStr">
        <is>
          <t>String `usr_xxxxxx` (auto)</t>
        </is>
      </c>
      <c r="F74" s="3" t="inlineStr">
        <is>
          <t>Console</t>
        </is>
      </c>
      <c r="G74" s="3" t="inlineStr">
        <is>
          <t>Vide → userId pas généré</t>
        </is>
      </c>
      <c r="H74" s="4" t="inlineStr"/>
      <c r="I74" s="3" t="inlineStr"/>
      <c r="J74" s="4" t="n">
        <v>1</v>
      </c>
    </row>
    <row r="75" ht="32" customHeight="1">
      <c r="A75" s="3" t="inlineStr">
        <is>
          <t>4. CONFORMITÉ</t>
        </is>
      </c>
      <c r="B75" s="3" t="inlineStr">
        <is>
          <t>4.1 AUDIT-TRAIL</t>
        </is>
      </c>
      <c r="C75" s="4" t="inlineStr">
        <is>
          <t>4.1.4</t>
        </is>
      </c>
      <c r="D75" s="3" t="inlineStr">
        <is>
          <t>Créer un mouvement</t>
        </is>
      </c>
      <c r="E75" s="3" t="inlineStr">
        <is>
          <t>Toast "Mouvement enregistré"</t>
        </is>
      </c>
      <c r="F75" s="3" t="inlineStr">
        <is>
          <t>Toast</t>
        </is>
      </c>
      <c r="G75" s="3" t="inlineStr">
        <is>
          <t>Erreur</t>
        </is>
      </c>
      <c r="H75" s="4" t="inlineStr"/>
      <c r="I75" s="3" t="inlineStr"/>
      <c r="J75" s="4" t="n">
        <v>1</v>
      </c>
    </row>
    <row r="76" ht="32" customHeight="1">
      <c r="A76" s="3" t="inlineStr">
        <is>
          <t>4. CONFORMITÉ</t>
        </is>
      </c>
      <c r="B76" s="3" t="inlineStr">
        <is>
          <t>4.1 AUDIT-TRAIL</t>
        </is>
      </c>
      <c r="C76" s="4" t="inlineStr">
        <is>
          <t>4.1.5</t>
        </is>
      </c>
      <c r="D76" s="3" t="inlineStr">
        <is>
          <t>Console : `DB.auditTrail.slice(-1)[0]`</t>
        </is>
      </c>
      <c r="E76" s="3" t="inlineStr">
        <is>
          <t>Objet `{ts, userId, userName: 'Didier', action: 'create', entityType: 'mouvement', entityRef: ...}`</t>
        </is>
      </c>
      <c r="F76" s="3" t="inlineStr">
        <is>
          <t>Console</t>
        </is>
      </c>
      <c r="G76" s="3" t="inlineStr">
        <is>
          <t>auditTrail vide → hooks cassés</t>
        </is>
      </c>
      <c r="H76" s="4" t="inlineStr"/>
      <c r="I76" s="3" t="inlineStr"/>
      <c r="J76" s="4" t="n">
        <v>1</v>
      </c>
    </row>
    <row r="77" ht="32" customHeight="1">
      <c r="A77" s="3" t="inlineStr">
        <is>
          <t>4. CONFORMITÉ</t>
        </is>
      </c>
      <c r="B77" s="3" t="inlineStr">
        <is>
          <t>4.1 AUDIT-TRAIL</t>
        </is>
      </c>
      <c r="C77" s="4" t="inlineStr">
        <is>
          <t>4.1.6</t>
        </is>
      </c>
      <c r="D77" s="3" t="inlineStr">
        <is>
          <t>Modifier ce mouvement (changer libellé)</t>
        </is>
      </c>
      <c r="E77" s="3" t="inlineStr">
        <is>
          <t>Toast OK</t>
        </is>
      </c>
      <c r="F77" s="3" t="inlineStr">
        <is>
          <t>Toast</t>
        </is>
      </c>
      <c r="G77" s="3" t="inlineStr">
        <is>
          <t>Erreur</t>
        </is>
      </c>
      <c r="H77" s="4" t="inlineStr"/>
      <c r="I77" s="3" t="inlineStr"/>
      <c r="J77" s="4" t="n">
        <v>1</v>
      </c>
    </row>
    <row r="78" ht="32" customHeight="1">
      <c r="A78" s="3" t="inlineStr">
        <is>
          <t>4. CONFORMITÉ</t>
        </is>
      </c>
      <c r="B78" s="3" t="inlineStr">
        <is>
          <t>4.1 AUDIT-TRAIL</t>
        </is>
      </c>
      <c r="C78" s="4" t="inlineStr">
        <is>
          <t>4.1.7</t>
        </is>
      </c>
      <c r="D78" s="3" t="inlineStr">
        <is>
          <t>Console : `DB.auditTrail.slice(-1)[0]`</t>
        </is>
      </c>
      <c r="E78" s="3" t="inlineStr">
        <is>
          <t>`action: 'update'` + `diff: { lib: { from: 'X', to: 'Y' } }`</t>
        </is>
      </c>
      <c r="F78" s="3" t="inlineStr">
        <is>
          <t>Console</t>
        </is>
      </c>
      <c r="G78" s="3" t="inlineStr">
        <is>
          <t>Pas de diff</t>
        </is>
      </c>
      <c r="H78" s="4" t="inlineStr"/>
      <c r="I78" s="3" t="inlineStr"/>
      <c r="J78" s="4" t="n">
        <v>1</v>
      </c>
    </row>
    <row r="79" ht="32" customHeight="1">
      <c r="A79" s="3" t="inlineStr">
        <is>
          <t>4. CONFORMITÉ</t>
        </is>
      </c>
      <c r="B79" s="3" t="inlineStr">
        <is>
          <t>4.1 AUDIT-TRAIL</t>
        </is>
      </c>
      <c r="C79" s="4" t="inlineStr">
        <is>
          <t>4.1.8</t>
        </is>
      </c>
      <c r="D79" s="3" t="inlineStr">
        <is>
          <t>Supprimer un bail</t>
        </is>
      </c>
      <c r="E79" s="3" t="inlineStr">
        <is>
          <t>Toast OK</t>
        </is>
      </c>
      <c r="F79" s="3" t="inlineStr">
        <is>
          <t>Toast</t>
        </is>
      </c>
      <c r="G79" s="3" t="inlineStr">
        <is>
          <t>Erreur</t>
        </is>
      </c>
      <c r="H79" s="4" t="inlineStr"/>
      <c r="I79" s="3" t="inlineStr"/>
      <c r="J79" s="4" t="n">
        <v>1</v>
      </c>
    </row>
    <row r="80" ht="45" customHeight="1">
      <c r="A80" s="3" t="inlineStr">
        <is>
          <t>4. CONFORMITÉ</t>
        </is>
      </c>
      <c r="B80" s="3" t="inlineStr">
        <is>
          <t>4.1 AUDIT-TRAIL</t>
        </is>
      </c>
      <c r="C80" s="4" t="inlineStr">
        <is>
          <t>4.1.9</t>
        </is>
      </c>
      <c r="D80" s="3" t="inlineStr">
        <is>
          <t>Console : `DB.auditTrail.filter(e =&gt; e.action === 'delete').slice(-1)[0]`</t>
        </is>
      </c>
      <c r="E80" s="3" t="inlineStr">
        <is>
          <t>`entityType: 'bail'` + ref</t>
        </is>
      </c>
      <c r="F80" s="3" t="inlineStr">
        <is>
          <t>Console</t>
        </is>
      </c>
      <c r="G80" s="3" t="inlineStr">
        <is>
          <t>Pas d'entrée delete</t>
        </is>
      </c>
      <c r="H80" s="4" t="inlineStr"/>
      <c r="I80" s="3" t="inlineStr"/>
      <c r="J80" s="4" t="n">
        <v>1</v>
      </c>
    </row>
    <row r="81" ht="45" customHeight="1">
      <c r="A81" s="3" t="inlineStr">
        <is>
          <t>4. CONFORMITÉ</t>
        </is>
      </c>
      <c r="B81" s="3" t="inlineStr">
        <is>
          <t>4.1 AUDIT-TRAIL</t>
        </is>
      </c>
      <c r="C81" s="4" t="inlineStr">
        <is>
          <t>4.1.10</t>
        </is>
      </c>
      <c r="D81" s="3" t="inlineStr">
        <is>
          <t>Audit complétude v14.98 : créer 1 immeuble, 1 quittance, 1 assurance, 1 MRH, 1 EDL</t>
        </is>
      </c>
      <c r="E81" s="3" t="inlineStr">
        <is>
          <t>Toasts OK, audit-trail enrichi</t>
        </is>
      </c>
      <c r="F81" s="3" t="inlineStr">
        <is>
          <t>Toast</t>
        </is>
      </c>
      <c r="G81" s="3" t="inlineStr">
        <is>
          <t>Save sans audit-trail</t>
        </is>
      </c>
      <c r="H81" s="4" t="inlineStr"/>
      <c r="I81" s="3" t="inlineStr"/>
      <c r="J81" s="4" t="n">
        <v>5</v>
      </c>
    </row>
    <row r="82" ht="45" customHeight="1">
      <c r="A82" s="3" t="inlineStr">
        <is>
          <t>4. CONFORMITÉ</t>
        </is>
      </c>
      <c r="B82" s="3" t="inlineStr">
        <is>
          <t>4.1 AUDIT-TRAIL</t>
        </is>
      </c>
      <c r="C82" s="4" t="inlineStr">
        <is>
          <t>4.1.11</t>
        </is>
      </c>
      <c r="D82" s="3" t="inlineStr">
        <is>
          <t>Console : compteur types couverts `[...new Set(DB.auditTrail.map(e =&gt; e.entityType))]`</t>
        </is>
      </c>
      <c r="E82" s="3" t="inlineStr">
        <is>
          <t>Array contient : entite, immeuble, logement, bail, quittance, assurance, mrh, edl, mouvement</t>
        </is>
      </c>
      <c r="F82" s="3" t="inlineStr">
        <is>
          <t>Console</t>
        </is>
      </c>
      <c r="G82" s="3" t="inlineStr">
        <is>
          <t>Type manquant → hook absent</t>
        </is>
      </c>
      <c r="H82" s="4" t="inlineStr"/>
      <c r="I82" s="3" t="inlineStr"/>
      <c r="J82" s="4" t="n">
        <v>2</v>
      </c>
    </row>
    <row r="83" ht="32" customHeight="1">
      <c r="A83" s="3" t="inlineStr">
        <is>
          <t>4. CONFORMITÉ</t>
        </is>
      </c>
      <c r="B83" s="3" t="inlineStr">
        <is>
          <t>4.2 LEGAL-2044</t>
        </is>
      </c>
      <c r="C83" s="4" t="inlineStr">
        <is>
          <t>4.2.1</t>
        </is>
      </c>
      <c r="D83" s="3" t="inlineStr">
        <is>
          <t>Onglet Export → trouver carte "📋 Aide déclaration 2044"</t>
        </is>
      </c>
      <c r="E83" s="3" t="inlineStr">
        <is>
          <t>Carte visible</t>
        </is>
      </c>
      <c r="F83" s="3" t="inlineStr">
        <is>
          <t>Visuel</t>
        </is>
      </c>
      <c r="G83" s="3" t="inlineStr">
        <is>
          <t>Carte absente</t>
        </is>
      </c>
      <c r="H83" s="4" t="inlineStr"/>
      <c r="I83" s="3" t="inlineStr"/>
      <c r="J83" s="4" t="n">
        <v>1</v>
      </c>
    </row>
    <row r="84" ht="32" customHeight="1">
      <c r="A84" s="3" t="inlineStr">
        <is>
          <t>4. CONFORMITÉ</t>
        </is>
      </c>
      <c r="B84" s="3" t="inlineStr">
        <is>
          <t>4.2 LEGAL-2044</t>
        </is>
      </c>
      <c r="C84" s="4" t="inlineStr">
        <is>
          <t>4.2.2</t>
        </is>
      </c>
      <c r="D84" s="3" t="inlineStr">
        <is>
          <t>Sélecteur Année : 4 options cy-3..cy</t>
        </is>
      </c>
      <c r="E84" s="3" t="inlineStr">
        <is>
          <t>OK (2023-2026 par exemple)</t>
        </is>
      </c>
      <c r="F84" s="3" t="inlineStr">
        <is>
          <t>Visuel select</t>
        </is>
      </c>
      <c r="G84" s="3" t="inlineStr">
        <is>
          <t>Vide</t>
        </is>
      </c>
      <c r="H84" s="4" t="inlineStr"/>
      <c r="I84" s="3" t="inlineStr"/>
      <c r="J84" s="4" t="n">
        <v>1</v>
      </c>
    </row>
    <row r="85" ht="32" customHeight="1">
      <c r="A85" s="3" t="inlineStr">
        <is>
          <t>4. CONFORMITÉ</t>
        </is>
      </c>
      <c r="B85" s="3" t="inlineStr">
        <is>
          <t>4.2 LEGAL-2044</t>
        </is>
      </c>
      <c r="C85" s="4" t="inlineStr">
        <is>
          <t>4.2.3</t>
        </is>
      </c>
      <c r="D85" s="3" t="inlineStr">
        <is>
          <t>Sélecteur Entité : entités vivantes + 'Toutes'</t>
        </is>
      </c>
      <c r="E85" s="3" t="inlineStr">
        <is>
          <t>OK</t>
        </is>
      </c>
      <c r="F85" s="3" t="inlineStr">
        <is>
          <t>Visuel</t>
        </is>
      </c>
      <c r="G85" s="3" t="inlineStr">
        <is>
          <t>Vide</t>
        </is>
      </c>
      <c r="H85" s="4" t="inlineStr"/>
      <c r="I85" s="3" t="inlineStr"/>
      <c r="J85" s="4" t="n">
        <v>1</v>
      </c>
    </row>
    <row r="86" ht="32" customHeight="1">
      <c r="A86" s="3" t="inlineStr">
        <is>
          <t>4. CONFORMITÉ</t>
        </is>
      </c>
      <c r="B86" s="3" t="inlineStr">
        <is>
          <t>4.2 LEGAL-2044</t>
        </is>
      </c>
      <c r="C86" s="4" t="inlineStr">
        <is>
          <t>4.2.4</t>
        </is>
      </c>
      <c r="D86" s="3" t="inlineStr">
        <is>
          <t>Bouton "📊 Calculer + voir le récap"</t>
        </is>
      </c>
      <c r="E86" s="3" t="inlineStr">
        <is>
          <t>Récap apparaît dans `&lt;pre&gt;` formaté</t>
        </is>
      </c>
      <c r="F86" s="3" t="inlineStr">
        <is>
          <t>Visuel</t>
        </is>
      </c>
      <c r="G86" s="3" t="inlineStr">
        <is>
          <t>Aucune réponse / erreur</t>
        </is>
      </c>
      <c r="H86" s="4" t="inlineStr"/>
      <c r="I86" s="3" t="inlineStr"/>
      <c r="J86" s="4" t="n">
        <v>1</v>
      </c>
    </row>
    <row r="87" ht="45" customHeight="1">
      <c r="A87" s="3" t="inlineStr">
        <is>
          <t>4. CONFORMITÉ</t>
        </is>
      </c>
      <c r="B87" s="3" t="inlineStr">
        <is>
          <t>4.2 LEGAL-2044</t>
        </is>
      </c>
      <c r="C87" s="4" t="inlineStr">
        <is>
          <t>4.2.5</t>
        </is>
      </c>
      <c r="D87" s="3" t="inlineStr">
        <is>
          <t>Récap inclut : "DÉCLARATION 2044", "Ligne 211", "Total recettes", "RÉSULTAT FONCIER"</t>
        </is>
      </c>
      <c r="E87" s="3" t="inlineStr">
        <is>
          <t>Toutes les mentions présentes</t>
        </is>
      </c>
      <c r="F87" s="3" t="inlineStr">
        <is>
          <t>Visuel pre</t>
        </is>
      </c>
      <c r="G87" s="3" t="inlineStr">
        <is>
          <t>Texte incomplet</t>
        </is>
      </c>
      <c r="H87" s="4" t="inlineStr"/>
      <c r="I87" s="3" t="inlineStr"/>
      <c r="J87" s="4" t="n">
        <v>2</v>
      </c>
    </row>
    <row r="88" ht="45" customHeight="1">
      <c r="A88" s="3" t="inlineStr">
        <is>
          <t>4. CONFORMITÉ</t>
        </is>
      </c>
      <c r="B88" s="3" t="inlineStr">
        <is>
          <t>4.2 LEGAL-2044</t>
        </is>
      </c>
      <c r="C88" s="4" t="inlineStr">
        <is>
          <t>4.2.6</t>
        </is>
      </c>
      <c r="D88" s="3" t="inlineStr">
        <is>
          <t>Si résultat foncier &lt; 0 : phrase "⚠ déficit foncier possible"</t>
        </is>
      </c>
      <c r="E88" s="3" t="inlineStr">
        <is>
          <t>Présente</t>
        </is>
      </c>
      <c r="F88" s="3" t="inlineStr">
        <is>
          <t>Visuel</t>
        </is>
      </c>
      <c r="G88" s="3" t="inlineStr">
        <is>
          <t>Absente quand résultat négatif</t>
        </is>
      </c>
      <c r="H88" s="4" t="inlineStr"/>
      <c r="I88" s="3" t="inlineStr"/>
      <c r="J88" s="4" t="n">
        <v>1</v>
      </c>
    </row>
    <row r="89" ht="45" customHeight="1">
      <c r="A89" s="3" t="inlineStr">
        <is>
          <t>4. CONFORMITÉ</t>
        </is>
      </c>
      <c r="B89" s="3" t="inlineStr">
        <is>
          <t>4.2 LEGAL-2044</t>
        </is>
      </c>
      <c r="C89" s="4" t="inlineStr">
        <is>
          <t>4.2.7</t>
        </is>
      </c>
      <c r="D89" s="3" t="inlineStr">
        <is>
          <t>Si catégorie custom non mappée : phrase "⚠ N mouvement(s) avec catégorie non mappée"</t>
        </is>
      </c>
      <c r="E89" s="3" t="inlineStr">
        <is>
          <t>Présente</t>
        </is>
      </c>
      <c r="F89" s="3" t="inlineStr">
        <is>
          <t>Visuel</t>
        </is>
      </c>
      <c r="G89" s="3" t="inlineStr">
        <is>
          <t>Absente</t>
        </is>
      </c>
      <c r="H89" s="4" t="inlineStr"/>
      <c r="I89" s="3" t="inlineStr"/>
      <c r="J89" s="4" t="n">
        <v>1</v>
      </c>
    </row>
    <row r="90" ht="32" customHeight="1">
      <c r="A90" s="3" t="inlineStr">
        <is>
          <t>4. CONFORMITÉ</t>
        </is>
      </c>
      <c r="B90" s="3" t="inlineStr">
        <is>
          <t>4.2 LEGAL-2044</t>
        </is>
      </c>
      <c r="C90" s="4" t="inlineStr">
        <is>
          <t>4.2.8</t>
        </is>
      </c>
      <c r="D90" s="3" t="inlineStr">
        <is>
          <t>Bouton "📥 Télécharger CSV pour comptable"</t>
        </is>
      </c>
      <c r="E90" s="3" t="inlineStr">
        <is>
          <t>Fichier .csv téléchargé</t>
        </is>
      </c>
      <c r="F90" s="3" t="inlineStr">
        <is>
          <t>~/Downloads</t>
        </is>
      </c>
      <c r="G90" s="3" t="inlineStr">
        <is>
          <t>Pas de download</t>
        </is>
      </c>
      <c r="H90" s="4" t="inlineStr"/>
      <c r="I90" s="3" t="inlineStr"/>
      <c r="J90" s="4" t="n">
        <v>1</v>
      </c>
    </row>
    <row r="91" ht="32" customHeight="1">
      <c r="A91" s="3" t="inlineStr">
        <is>
          <t>4. CONFORMITÉ</t>
        </is>
      </c>
      <c r="B91" s="3" t="inlineStr">
        <is>
          <t>4.2 LEGAL-2044</t>
        </is>
      </c>
      <c r="C91" s="4" t="inlineStr">
        <is>
          <t>4.2.9</t>
        </is>
      </c>
      <c r="D91" s="3" t="inlineStr">
        <is>
          <t>Ouvrir CSV dans Excel/LibreOffice</t>
        </is>
      </c>
      <c r="E91" s="3" t="inlineStr">
        <is>
          <t>8 colonnes : ligne_2044, description, nb_mouvements, montant_eur + lignes TOTAL_RECETTES, TOTAL_CHARGES, RESULTAT_FONCIER</t>
        </is>
      </c>
      <c r="F91" s="3" t="inlineStr">
        <is>
          <t>Excel</t>
        </is>
      </c>
      <c r="G91" s="3" t="inlineStr">
        <is>
          <t>Colonnes incorrectes</t>
        </is>
      </c>
      <c r="H91" s="4" t="inlineStr"/>
      <c r="I91" s="3" t="inlineStr"/>
      <c r="J91" s="4" t="n">
        <v>2</v>
      </c>
    </row>
    <row r="92" ht="32" customHeight="1">
      <c r="A92" s="3" t="inlineStr">
        <is>
          <t>4. CONFORMITÉ</t>
        </is>
      </c>
      <c r="B92" s="3" t="inlineStr">
        <is>
          <t>4.3 BILAN ANNUEL</t>
        </is>
      </c>
      <c r="C92" s="4" t="inlineStr">
        <is>
          <t>4.3.1</t>
        </is>
      </c>
      <c r="D92" s="3" t="inlineStr">
        <is>
          <t>Onglet Export → carte "📊 Bilan annuel par entité"</t>
        </is>
      </c>
      <c r="E92" s="3" t="inlineStr">
        <is>
          <t>Visible</t>
        </is>
      </c>
      <c r="F92" s="3" t="inlineStr">
        <is>
          <t>Visuel</t>
        </is>
      </c>
      <c r="G92" s="3" t="inlineStr">
        <is>
          <t>Absent</t>
        </is>
      </c>
      <c r="H92" s="4" t="inlineStr"/>
      <c r="I92" s="3" t="inlineStr"/>
      <c r="J92" s="4" t="n">
        <v>1</v>
      </c>
    </row>
    <row r="93" ht="32" customHeight="1">
      <c r="A93" s="3" t="inlineStr">
        <is>
          <t>4. CONFORMITÉ</t>
        </is>
      </c>
      <c r="B93" s="3" t="inlineStr">
        <is>
          <t>4.3 BILAN ANNUEL</t>
        </is>
      </c>
      <c r="C93" s="4" t="inlineStr">
        <is>
          <t>4.3.2</t>
        </is>
      </c>
      <c r="D93" s="3" t="inlineStr">
        <is>
          <t>Sélecteur Entité (obligatoire) + Année</t>
        </is>
      </c>
      <c r="E93" s="3" t="inlineStr">
        <is>
          <t>OK</t>
        </is>
      </c>
      <c r="F93" s="3" t="inlineStr">
        <is>
          <t>Visuel</t>
        </is>
      </c>
      <c r="G93" s="3" t="inlineStr">
        <is>
          <t>Selectbox vide</t>
        </is>
      </c>
      <c r="H93" s="4" t="inlineStr"/>
      <c r="I93" s="3" t="inlineStr"/>
      <c r="J93" s="4" t="n">
        <v>1</v>
      </c>
    </row>
    <row r="94" ht="32" customHeight="1">
      <c r="A94" s="3" t="inlineStr">
        <is>
          <t>4. CONFORMITÉ</t>
        </is>
      </c>
      <c r="B94" s="3" t="inlineStr">
        <is>
          <t>4.3 BILAN ANNUEL</t>
        </is>
      </c>
      <c r="C94" s="4" t="inlineStr">
        <is>
          <t>4.3.3</t>
        </is>
      </c>
      <c r="D94" s="3" t="inlineStr">
        <is>
          <t>Bouton "📊 Générer le bilan"</t>
        </is>
      </c>
      <c r="E94" s="3" t="inlineStr">
        <is>
          <t>Texte récap apparaît</t>
        </is>
      </c>
      <c r="F94" s="3" t="inlineStr">
        <is>
          <t>Visuel</t>
        </is>
      </c>
      <c r="G94" s="3" t="inlineStr">
        <is>
          <t>Aucune réponse</t>
        </is>
      </c>
      <c r="H94" s="4" t="inlineStr"/>
      <c r="I94" s="3" t="inlineStr"/>
      <c r="J94" s="4" t="n">
        <v>1</v>
      </c>
    </row>
    <row r="95" ht="45" customHeight="1">
      <c r="A95" s="3" t="inlineStr">
        <is>
          <t>4. CONFORMITÉ</t>
        </is>
      </c>
      <c r="B95" s="3" t="inlineStr">
        <is>
          <t>4.3 BILAN ANNUEL</t>
        </is>
      </c>
      <c r="C95" s="4" t="inlineStr">
        <is>
          <t>4.3.4</t>
        </is>
      </c>
      <c r="D95" s="3" t="inlineStr">
        <is>
          <t>Récap : "BILAN ANNUEL", nom entité, "Revenus totaux", "Cash-flow opérationnel", "DÉTAIL PAR LOGEMENT"</t>
        </is>
      </c>
      <c r="E95" s="3" t="inlineStr">
        <is>
          <t>Toutes mentions présentes</t>
        </is>
      </c>
      <c r="F95" s="3" t="inlineStr">
        <is>
          <t>Visuel pre</t>
        </is>
      </c>
      <c r="G95" s="3" t="inlineStr">
        <is>
          <t>Sections manquantes</t>
        </is>
      </c>
      <c r="H95" s="4" t="inlineStr"/>
      <c r="I95" s="3" t="inlineStr"/>
      <c r="J95" s="4" t="n">
        <v>2</v>
      </c>
    </row>
    <row r="96" ht="45" customHeight="1">
      <c r="A96" s="3" t="inlineStr">
        <is>
          <t>4. CONFORMITÉ</t>
        </is>
      </c>
      <c r="B96" s="3" t="inlineStr">
        <is>
          <t>4.3 BILAN ANNUEL</t>
        </is>
      </c>
      <c r="C96" s="4" t="inlineStr">
        <is>
          <t>4.3.5</t>
        </is>
      </c>
      <c r="D96" s="3" t="inlineStr">
        <is>
          <t>Détail par logement : ligne par bien avec ref, type, locataire, occ%, revenus, charges, cash-flow</t>
        </is>
      </c>
      <c r="E96" s="3" t="inlineStr">
        <is>
          <t>Aligné en colonnes</t>
        </is>
      </c>
      <c r="F96" s="3" t="inlineStr">
        <is>
          <t>Visuel</t>
        </is>
      </c>
      <c r="G96" s="3" t="inlineStr">
        <is>
          <t>Désaligné / manquant</t>
        </is>
      </c>
      <c r="H96" s="4" t="inlineStr"/>
      <c r="I96" s="3" t="inlineStr"/>
      <c r="J96" s="4" t="n">
        <v>2</v>
      </c>
    </row>
    <row r="97" ht="32" customHeight="1">
      <c r="A97" s="3" t="inlineStr">
        <is>
          <t>4. CONFORMITÉ</t>
        </is>
      </c>
      <c r="B97" s="3" t="inlineStr">
        <is>
          <t>4.3 BILAN ANNUEL</t>
        </is>
      </c>
      <c r="C97" s="4" t="inlineStr">
        <is>
          <t>4.3.6</t>
        </is>
      </c>
      <c r="D97" s="3" t="inlineStr">
        <is>
          <t>KPI "Manque à gagner cumulé" affiché</t>
        </is>
      </c>
      <c r="E97" s="3" t="inlineStr">
        <is>
          <t>OK</t>
        </is>
      </c>
      <c r="F97" s="3" t="inlineStr">
        <is>
          <t>Visuel</t>
        </is>
      </c>
      <c r="G97" s="3" t="inlineStr">
        <is>
          <t>Manquant</t>
        </is>
      </c>
      <c r="H97" s="4" t="inlineStr"/>
      <c r="I97" s="3" t="inlineStr"/>
      <c r="J97" s="4" t="n">
        <v>1</v>
      </c>
    </row>
    <row r="98" ht="32" customHeight="1">
      <c r="A98" s="3" t="inlineStr">
        <is>
          <t>4. CONFORMITÉ</t>
        </is>
      </c>
      <c r="B98" s="3" t="inlineStr">
        <is>
          <t>4.4 RGPD</t>
        </is>
      </c>
      <c r="C98" s="4" t="inlineStr">
        <is>
          <t>4.4.1</t>
        </is>
      </c>
      <c r="D98" s="3" t="inlineStr">
        <is>
          <t>Onglet Export → carte "🔒 RGPD"</t>
        </is>
      </c>
      <c r="E98" s="3" t="inlineStr">
        <is>
          <t>Visible avec liens docs/legal/*</t>
        </is>
      </c>
      <c r="F98" s="3" t="inlineStr">
        <is>
          <t>Visuel</t>
        </is>
      </c>
      <c r="G98" s="3" t="inlineStr">
        <is>
          <t>Absent</t>
        </is>
      </c>
      <c r="H98" s="4" t="inlineStr"/>
      <c r="I98" s="3" t="inlineStr"/>
      <c r="J98" s="4" t="n">
        <v>1</v>
      </c>
    </row>
    <row r="99" ht="32" customHeight="1">
      <c r="A99" s="3" t="inlineStr">
        <is>
          <t>4. CONFORMITÉ</t>
        </is>
      </c>
      <c r="B99" s="3" t="inlineStr">
        <is>
          <t>4.4 RGPD</t>
        </is>
      </c>
      <c r="C99" s="4" t="inlineStr">
        <is>
          <t>4.4.2</t>
        </is>
      </c>
      <c r="D99" s="3" t="inlineStr">
        <is>
          <t>Vérifier `docs/legal/RGPD-REGISTRE.md` existe</t>
        </is>
      </c>
      <c r="E99" s="3" t="inlineStr">
        <is>
          <t>Affiché dans Explorer</t>
        </is>
      </c>
      <c r="F99" s="3" t="inlineStr">
        <is>
          <t>FS</t>
        </is>
      </c>
      <c r="G99" s="3" t="inlineStr">
        <is>
          <t>Fichier absent</t>
        </is>
      </c>
      <c r="H99" s="4" t="inlineStr"/>
      <c r="I99" s="3" t="inlineStr"/>
      <c r="J99" s="4" t="n">
        <v>1</v>
      </c>
    </row>
    <row r="100" ht="32" customHeight="1">
      <c r="A100" s="3" t="inlineStr">
        <is>
          <t>4. CONFORMITÉ</t>
        </is>
      </c>
      <c r="B100" s="3" t="inlineStr">
        <is>
          <t>4.4 RGPD</t>
        </is>
      </c>
      <c r="C100" s="4" t="inlineStr">
        <is>
          <t>4.4.3</t>
        </is>
      </c>
      <c r="D100" s="3" t="inlineStr">
        <is>
          <t>Vérifier `docs/legal/DPA-GOOGLE-DRIVE.md` existe</t>
        </is>
      </c>
      <c r="E100" s="3" t="inlineStr">
        <is>
          <t>OK</t>
        </is>
      </c>
      <c r="F100" s="3" t="inlineStr">
        <is>
          <t>FS</t>
        </is>
      </c>
      <c r="G100" s="3" t="inlineStr">
        <is>
          <t>Absent</t>
        </is>
      </c>
      <c r="H100" s="4" t="inlineStr"/>
      <c r="I100" s="3" t="inlineStr"/>
      <c r="J100" s="4" t="n">
        <v>1</v>
      </c>
    </row>
    <row r="101" ht="32" customHeight="1">
      <c r="A101" s="3" t="inlineStr">
        <is>
          <t>4. CONFORMITÉ</t>
        </is>
      </c>
      <c r="B101" s="3" t="inlineStr">
        <is>
          <t>4.4 RGPD</t>
        </is>
      </c>
      <c r="C101" s="4" t="inlineStr">
        <is>
          <t>4.4.4</t>
        </is>
      </c>
      <c r="D101" s="3" t="inlineStr">
        <is>
          <t>Sélecteur logement, bouton "👁 Voir données collectées"</t>
        </is>
      </c>
      <c r="E101" s="3" t="inlineStr">
        <is>
          <t>Rapport texte multilignes</t>
        </is>
      </c>
      <c r="F101" s="3" t="inlineStr">
        <is>
          <t>Visuel</t>
        </is>
      </c>
      <c r="G101" s="3" t="inlineStr">
        <is>
          <t>Aucune réponse</t>
        </is>
      </c>
      <c r="H101" s="4" t="inlineStr"/>
      <c r="I101" s="3" t="inlineStr"/>
      <c r="J101" s="4" t="n">
        <v>1</v>
      </c>
    </row>
    <row r="102" ht="45" customHeight="1">
      <c r="A102" s="3" t="inlineStr">
        <is>
          <t>4. CONFORMITÉ</t>
        </is>
      </c>
      <c r="B102" s="3" t="inlineStr">
        <is>
          <t>4.4 RGPD</t>
        </is>
      </c>
      <c r="C102" s="4" t="inlineStr">
        <is>
          <t>4.4.5</t>
        </is>
      </c>
      <c r="D102" s="3" t="inlineStr">
        <is>
          <t>Rapport : "Art. 15", "Logement: OUI", nb mouvements, nb quittances, "TOTAL ENREGISTREMENTS"</t>
        </is>
      </c>
      <c r="E102" s="3" t="inlineStr">
        <is>
          <t>Présent</t>
        </is>
      </c>
      <c r="F102" s="3" t="inlineStr">
        <is>
          <t>Visuel</t>
        </is>
      </c>
      <c r="G102" s="3" t="inlineStr">
        <is>
          <t>Sections manquantes</t>
        </is>
      </c>
      <c r="H102" s="4" t="inlineStr"/>
      <c r="I102" s="3" t="inlineStr"/>
      <c r="J102" s="4" t="n">
        <v>2</v>
      </c>
    </row>
    <row r="103" ht="32" customHeight="1">
      <c r="A103" s="3" t="inlineStr">
        <is>
          <t>4. CONFORMITÉ</t>
        </is>
      </c>
      <c r="B103" s="3" t="inlineStr">
        <is>
          <t>4.4 RGPD</t>
        </is>
      </c>
      <c r="C103" s="4" t="inlineStr">
        <is>
          <t>4.4.6</t>
        </is>
      </c>
      <c r="D103" s="3" t="inlineStr">
        <is>
          <t>Bouton "📦 Export portabilité (art. 20)"</t>
        </is>
      </c>
      <c r="E103" s="3" t="inlineStr">
        <is>
          <t>Fichier `RGPD_export_&lt;ref&gt;_&lt;date&gt;.json` téléchargé</t>
        </is>
      </c>
      <c r="F103" s="3" t="inlineStr">
        <is>
          <t>Downloads</t>
        </is>
      </c>
      <c r="G103" s="3" t="inlineStr">
        <is>
          <t>Pas de download</t>
        </is>
      </c>
      <c r="H103" s="4" t="inlineStr"/>
      <c r="I103" s="3" t="inlineStr"/>
      <c r="J103" s="4" t="n">
        <v>1</v>
      </c>
    </row>
    <row r="104" ht="32" customHeight="1">
      <c r="A104" s="3" t="inlineStr">
        <is>
          <t>4. CONFORMITÉ</t>
        </is>
      </c>
      <c r="B104" s="3" t="inlineStr">
        <is>
          <t>4.4 RGPD</t>
        </is>
      </c>
      <c r="C104" s="4" t="inlineStr">
        <is>
          <t>4.4.7</t>
        </is>
      </c>
      <c r="D104" s="3" t="inlineStr">
        <is>
          <t>Ouvrir JSON exporté</t>
        </is>
      </c>
      <c r="E104" s="3" t="inlineStr">
        <is>
          <t>`_meta.rgpdArticle === 'Art. 20 RGPD'` + `data.totalRecords &gt; 0`</t>
        </is>
      </c>
      <c r="F104" s="3" t="inlineStr">
        <is>
          <t>Texte JSON</t>
        </is>
      </c>
      <c r="G104" s="3" t="inlineStr">
        <is>
          <t>Structure incorrecte</t>
        </is>
      </c>
      <c r="H104" s="4" t="inlineStr"/>
      <c r="I104" s="3" t="inlineStr"/>
      <c r="J104" s="4" t="n">
        <v>2</v>
      </c>
    </row>
    <row r="105" ht="32" customHeight="1">
      <c r="A105" s="3" t="inlineStr">
        <is>
          <t>4. CONFORMITÉ</t>
        </is>
      </c>
      <c r="B105" s="3" t="inlineStr">
        <is>
          <t>4.4 RGPD</t>
        </is>
      </c>
      <c r="C105" s="4" t="inlineStr">
        <is>
          <t>4.4.8</t>
        </is>
      </c>
      <c r="D105" s="3" t="inlineStr">
        <is>
          <t>Bouton "🗑 Plan d'effacement (art. 17)" sur un bail &lt; 3 ans</t>
        </is>
      </c>
      <c r="E105" s="3" t="inlineStr">
        <is>
          <t>"❌ NON" + raison "prescription 3 ans non écoulée"</t>
        </is>
      </c>
      <c r="F105" s="3" t="inlineStr">
        <is>
          <t>Visuel</t>
        </is>
      </c>
      <c r="G105" s="3" t="inlineStr">
        <is>
          <t>Marqué éligible à tort</t>
        </is>
      </c>
      <c r="H105" s="4" t="inlineStr"/>
      <c r="I105" s="3" t="inlineStr"/>
      <c r="J105" s="4" t="n">
        <v>1</v>
      </c>
    </row>
    <row r="106" ht="45" customHeight="1">
      <c r="A106" s="3" t="inlineStr">
        <is>
          <t>4. CONFORMITÉ</t>
        </is>
      </c>
      <c r="B106" s="3" t="inlineStr">
        <is>
          <t>4.4 RGPD</t>
        </is>
      </c>
      <c r="C106" s="4" t="inlineStr">
        <is>
          <t>4.4.9</t>
        </is>
      </c>
      <c r="D106" s="3" t="inlineStr">
        <is>
          <t>Plan : "Total opérations prévues", "EXÉCUTION non implémentée en V1"</t>
        </is>
      </c>
      <c r="E106" s="3" t="inlineStr">
        <is>
          <t>Présent (V1.1 todo)</t>
        </is>
      </c>
      <c r="F106" s="3" t="inlineStr">
        <is>
          <t>Visuel</t>
        </is>
      </c>
      <c r="G106" s="3" t="inlineStr">
        <is>
          <t>Bouton exécuter présent à tort</t>
        </is>
      </c>
      <c r="H106" s="4" t="inlineStr"/>
      <c r="I106" s="3" t="inlineStr"/>
      <c r="J106" s="4" t="n">
        <v>1</v>
      </c>
    </row>
    <row r="107" ht="32" customHeight="1">
      <c r="A107" s="3" t="inlineStr">
        <is>
          <t>4. CONFORMITÉ</t>
        </is>
      </c>
      <c r="B107" s="3" t="inlineStr">
        <is>
          <t>4.5 EXPORT-COMPTABLE FEC</t>
        </is>
      </c>
      <c r="C107" s="4" t="inlineStr">
        <is>
          <t>4.5.1</t>
        </is>
      </c>
      <c r="D107" s="3" t="inlineStr">
        <is>
          <t>Onglet Export → carte "💼 Export comptable"</t>
        </is>
      </c>
      <c r="E107" s="3" t="inlineStr">
        <is>
          <t>Visible</t>
        </is>
      </c>
      <c r="F107" s="3" t="inlineStr">
        <is>
          <t>Visuel</t>
        </is>
      </c>
      <c r="G107" s="3" t="inlineStr">
        <is>
          <t>Absent</t>
        </is>
      </c>
      <c r="H107" s="4" t="inlineStr"/>
      <c r="I107" s="3" t="inlineStr"/>
      <c r="J107" s="4" t="n">
        <v>1</v>
      </c>
    </row>
    <row r="108" ht="32" customHeight="1">
      <c r="A108" s="3" t="inlineStr">
        <is>
          <t>4. CONFORMITÉ</t>
        </is>
      </c>
      <c r="B108" s="3" t="inlineStr">
        <is>
          <t>4.5 EXPORT-COMPTABLE FEC</t>
        </is>
      </c>
      <c r="C108" s="4" t="inlineStr">
        <is>
          <t>4.5.2</t>
        </is>
      </c>
      <c r="D108" s="3" t="inlineStr">
        <is>
          <t>Bouton "📄 Export FEC" + année + entité</t>
        </is>
      </c>
      <c r="E108" s="3" t="inlineStr">
        <is>
          <t>Fichier `FEC_&lt;année&gt;.txt` téléchargé</t>
        </is>
      </c>
      <c r="F108" s="3" t="inlineStr">
        <is>
          <t>Downloads</t>
        </is>
      </c>
      <c r="G108" s="3" t="inlineStr">
        <is>
          <t>Pas de download</t>
        </is>
      </c>
      <c r="H108" s="4" t="inlineStr"/>
      <c r="I108" s="3" t="inlineStr"/>
      <c r="J108" s="4" t="n">
        <v>1</v>
      </c>
    </row>
    <row r="109" ht="32" customHeight="1">
      <c r="A109" s="3" t="inlineStr">
        <is>
          <t>4. CONFORMITÉ</t>
        </is>
      </c>
      <c r="B109" s="3" t="inlineStr">
        <is>
          <t>4.5 EXPORT-COMPTABLE FEC</t>
        </is>
      </c>
      <c r="C109" s="4" t="inlineStr">
        <is>
          <t>4.5.3</t>
        </is>
      </c>
      <c r="D109" s="3" t="inlineStr">
        <is>
          <t>Ouvrir le .txt dans éditeur</t>
        </is>
      </c>
      <c r="E109" s="3" t="inlineStr">
        <is>
          <t>1ère ligne = header avec 18 colonnes séparées TAB</t>
        </is>
      </c>
      <c r="F109" s="3" t="inlineStr">
        <is>
          <t>Texte</t>
        </is>
      </c>
      <c r="G109" s="3" t="inlineStr">
        <is>
          <t>Colonnes incorrectes</t>
        </is>
      </c>
      <c r="H109" s="4" t="inlineStr"/>
      <c r="I109" s="3" t="inlineStr"/>
      <c r="J109" s="4" t="n">
        <v>2</v>
      </c>
    </row>
    <row r="110" ht="45" customHeight="1">
      <c r="A110" s="3" t="inlineStr">
        <is>
          <t>4. CONFORMITÉ</t>
        </is>
      </c>
      <c r="B110" s="3" t="inlineStr">
        <is>
          <t>4.5 EXPORT-COMPTABLE FEC</t>
        </is>
      </c>
      <c r="C110" s="4" t="inlineStr">
        <is>
          <t>4.5.4</t>
        </is>
      </c>
      <c r="D110" s="3" t="inlineStr">
        <is>
          <t>Header colonnes : JournalCode, JournalLib, EcritureNum, EcritureDate, CompteNum, CompteLib, CompAuxNum, CompAuxLib, PieceRef, PieceDate, EcritureLib, Debit, Credit, EcritureLet, DateLet, ValidDate, Montantdevise, Idevise</t>
        </is>
      </c>
      <c r="E110" s="3" t="inlineStr">
        <is>
          <t>18 colonnes exactement</t>
        </is>
      </c>
      <c r="F110" s="3" t="inlineStr">
        <is>
          <t>Texte</t>
        </is>
      </c>
      <c r="G110" s="3" t="inlineStr">
        <is>
          <t>Colonnes manquantes ou ordre différent</t>
        </is>
      </c>
      <c r="H110" s="4" t="inlineStr"/>
      <c r="I110" s="3" t="inlineStr"/>
      <c r="J110" s="4" t="n">
        <v>3</v>
      </c>
    </row>
    <row r="111" ht="32" customHeight="1">
      <c r="A111" s="3" t="inlineStr">
        <is>
          <t>4. CONFORMITÉ</t>
        </is>
      </c>
      <c r="B111" s="3" t="inlineStr">
        <is>
          <t>4.5 EXPORT-COMPTABLE FEC</t>
        </is>
      </c>
      <c r="C111" s="4" t="inlineStr">
        <is>
          <t>4.5.5</t>
        </is>
      </c>
      <c r="D111" s="3" t="inlineStr">
        <is>
          <t>Dates lignes data format YYYYMMDD</t>
        </is>
      </c>
      <c r="E111" s="3" t="inlineStr">
        <is>
          <t>Ex `20250115` (pas `2025-01-15`)</t>
        </is>
      </c>
      <c r="F111" s="3" t="inlineStr">
        <is>
          <t>Texte</t>
        </is>
      </c>
      <c r="G111" s="3" t="inlineStr">
        <is>
          <t>Format ISO ou autre</t>
        </is>
      </c>
      <c r="H111" s="4" t="inlineStr"/>
      <c r="I111" s="3" t="inlineStr"/>
      <c r="J111" s="4" t="n">
        <v>1</v>
      </c>
    </row>
    <row r="112" ht="32" customHeight="1">
      <c r="A112" s="3" t="inlineStr">
        <is>
          <t>4. CONFORMITÉ</t>
        </is>
      </c>
      <c r="B112" s="3" t="inlineStr">
        <is>
          <t>4.5 EXPORT-COMPTABLE FEC</t>
        </is>
      </c>
      <c r="C112" s="4" t="inlineStr">
        <is>
          <t>4.5.6</t>
        </is>
      </c>
      <c r="D112" s="3" t="inlineStr">
        <is>
          <t>Montants format virgule décimale FR</t>
        </is>
      </c>
      <c r="E112" s="3" t="inlineStr">
        <is>
          <t>Ex `800,00` (PAS `800.00`)</t>
        </is>
      </c>
      <c r="F112" s="3" t="inlineStr">
        <is>
          <t>Texte</t>
        </is>
      </c>
      <c r="G112" s="3" t="inlineStr">
        <is>
          <t>Point décimal</t>
        </is>
      </c>
      <c r="H112" s="4" t="inlineStr"/>
      <c r="I112" s="3" t="inlineStr"/>
      <c r="J112" s="4" t="n">
        <v>1</v>
      </c>
    </row>
    <row r="113" ht="32" customHeight="1">
      <c r="A113" s="3" t="inlineStr">
        <is>
          <t>4. CONFORMITÉ</t>
        </is>
      </c>
      <c r="B113" s="3" t="inlineStr">
        <is>
          <t>4.5 EXPORT-COMPTABLE FEC</t>
        </is>
      </c>
      <c r="C113" s="4" t="inlineStr">
        <is>
          <t>4.5.7</t>
        </is>
      </c>
      <c r="D113" s="3" t="inlineStr">
        <is>
          <t>EcritureNum format `GL000001`</t>
        </is>
      </c>
      <c r="E113" s="3" t="inlineStr">
        <is>
          <t>Préfixe GL + 6 chiffres pad</t>
        </is>
      </c>
      <c r="F113" s="3" t="inlineStr">
        <is>
          <t>Texte</t>
        </is>
      </c>
      <c r="G113" s="3" t="inlineStr">
        <is>
          <t>Format différent</t>
        </is>
      </c>
      <c r="H113" s="4" t="inlineStr"/>
      <c r="I113" s="3" t="inlineStr"/>
      <c r="J113" s="4" t="n">
        <v>1</v>
      </c>
    </row>
    <row r="114" ht="32" customHeight="1">
      <c r="A114" s="3" t="inlineStr">
        <is>
          <t>4. CONFORMITÉ</t>
        </is>
      </c>
      <c r="B114" s="3" t="inlineStr">
        <is>
          <t>4.5 EXPORT-COMPTABLE FEC</t>
        </is>
      </c>
      <c r="C114" s="4" t="inlineStr">
        <is>
          <t>4.5.8</t>
        </is>
      </c>
      <c r="D114" s="3" t="inlineStr">
        <is>
          <t>Bouton "📒 Journal général (.csv)"</t>
        </is>
      </c>
      <c r="E114" s="3" t="inlineStr">
        <is>
          <t>Fichier .csv téléchargé</t>
        </is>
      </c>
      <c r="F114" s="3" t="inlineStr">
        <is>
          <t>Downloads</t>
        </is>
      </c>
      <c r="G114" s="3" t="inlineStr">
        <is>
          <t>Pas de download</t>
        </is>
      </c>
      <c r="H114" s="4" t="inlineStr"/>
      <c r="I114" s="3" t="inlineStr"/>
      <c r="J114" s="4" t="n">
        <v>1</v>
      </c>
    </row>
    <row r="115" ht="32" customHeight="1">
      <c r="A115" s="3" t="inlineStr">
        <is>
          <t>4. CONFORMITÉ</t>
        </is>
      </c>
      <c r="B115" s="3" t="inlineStr">
        <is>
          <t>4.5 EXPORT-COMPTABLE FEC</t>
        </is>
      </c>
      <c r="C115" s="4" t="inlineStr">
        <is>
          <t>4.5.9</t>
        </is>
      </c>
      <c r="D115" s="3" t="inlineStr">
        <is>
          <t>Vérifier équilibre débit=crédit (somme par num d'écriture)</t>
        </is>
      </c>
      <c r="E115" s="3" t="inlineStr">
        <is>
          <t>Toutes équilibrées</t>
        </is>
      </c>
      <c r="F115" s="3" t="inlineStr">
        <is>
          <t>Excel sur CSV</t>
        </is>
      </c>
      <c r="G115" s="3" t="inlineStr">
        <is>
          <t>Déséquilibre → bug partie double</t>
        </is>
      </c>
      <c r="H115" s="4" t="inlineStr"/>
      <c r="I115" s="3" t="inlineStr"/>
      <c r="J115" s="4" t="n">
        <v>3</v>
      </c>
    </row>
    <row r="116" ht="32" customHeight="1">
      <c r="A116" s="3" t="inlineStr">
        <is>
          <t>4. CONFORMITÉ</t>
        </is>
      </c>
      <c r="B116" s="3" t="inlineStr">
        <is>
          <t>4.5 EXPORT-COMPTABLE FEC</t>
        </is>
      </c>
      <c r="C116" s="4" t="inlineStr">
        <is>
          <t>4.5.10</t>
        </is>
      </c>
      <c r="D116" s="3" t="inlineStr">
        <is>
          <t>Bouton "📚 Grand livre (.csv)"</t>
        </is>
      </c>
      <c r="E116" s="3" t="inlineStr">
        <is>
          <t>CSV avec solde progressif + lignes "TOTAL" par compte</t>
        </is>
      </c>
      <c r="F116" s="3" t="inlineStr">
        <is>
          <t>Excel</t>
        </is>
      </c>
      <c r="G116" s="3" t="inlineStr">
        <is>
          <t>Structure incorrecte</t>
        </is>
      </c>
      <c r="H116" s="4" t="inlineStr"/>
      <c r="I116" s="3" t="inlineStr"/>
      <c r="J116" s="4" t="n">
        <v>2</v>
      </c>
    </row>
    <row r="117" ht="32" customHeight="1">
      <c r="A117" s="3" t="inlineStr">
        <is>
          <t>4. CONFORMITÉ</t>
        </is>
      </c>
      <c r="B117" s="3" t="inlineStr">
        <is>
          <t>4.5 EXPORT-COMPTABLE FEC</t>
        </is>
      </c>
      <c r="C117" s="4" t="inlineStr">
        <is>
          <t>4.5.11</t>
        </is>
      </c>
      <c r="D117" s="3" t="inlineStr">
        <is>
          <t>Test FEC réel : envoyer le FEC à un expert-comptable</t>
        </is>
      </c>
      <c r="E117" s="3" t="inlineStr">
        <is>
          <t>Validation "OK arrêté 29/07/2013 BOI-CF-IOR-60-40-20"</t>
        </is>
      </c>
      <c r="F117" s="3" t="inlineStr">
        <is>
          <t>Email expert</t>
        </is>
      </c>
      <c r="G117" s="3" t="inlineStr">
        <is>
          <t>Format rejeté par l'expert</t>
        </is>
      </c>
      <c r="H117" s="4" t="inlineStr"/>
      <c r="I117" s="3" t="inlineStr"/>
      <c r="J117" s="4" t="n">
        <v>10</v>
      </c>
    </row>
    <row r="118" ht="45" customHeight="1">
      <c r="A118" s="3" t="inlineStr">
        <is>
          <t>4. CONFORMITÉ</t>
        </is>
      </c>
      <c r="B118" s="3" t="inlineStr">
        <is>
          <t>4.6 IMPORT-CONCURRENTS</t>
        </is>
      </c>
      <c r="C118" s="4" t="inlineStr">
        <is>
          <t>4.6.1</t>
        </is>
      </c>
      <c r="D118" s="3" t="inlineStr">
        <is>
          <t>Console : `window._mapRentila({biens:[{id:1, reference:'TEST'}]})`</t>
        </is>
      </c>
      <c r="E118" s="3" t="inlineStr">
        <is>
          <t>Objet `{out, errors: [], summary: {logements: 1, baux: 0, mouvements: 0}}`</t>
        </is>
      </c>
      <c r="F118" s="3" t="inlineStr">
        <is>
          <t>Console</t>
        </is>
      </c>
      <c r="G118" s="3" t="inlineStr">
        <is>
          <t>Throw / structure différente</t>
        </is>
      </c>
      <c r="H118" s="4" t="inlineStr"/>
      <c r="I118" s="3" t="inlineStr"/>
      <c r="J118" s="4" t="n">
        <v>1</v>
      </c>
    </row>
    <row r="119" ht="45" customHeight="1">
      <c r="A119" s="3" t="inlineStr">
        <is>
          <t>4. CONFORMITÉ</t>
        </is>
      </c>
      <c r="B119" s="3" t="inlineStr">
        <is>
          <t>4.6 IMPORT-CONCURRENTS</t>
        </is>
      </c>
      <c r="C119" s="4" t="inlineStr">
        <is>
          <t>4.6.2</t>
        </is>
      </c>
      <c r="D119" s="3" t="inlineStr">
        <is>
          <t>Console : `window._mapBailFacile({Logements:[{Ref:'X', Type:'T2', Surface:50}]})`</t>
        </is>
      </c>
      <c r="E119" s="3" t="inlineStr">
        <is>
          <t>`summary.logements === 1`</t>
        </is>
      </c>
      <c r="F119" s="3" t="inlineStr">
        <is>
          <t>Console</t>
        </is>
      </c>
      <c r="G119" s="3" t="inlineStr">
        <is>
          <t>Structure différente</t>
        </is>
      </c>
      <c r="H119" s="4" t="inlineStr"/>
      <c r="I119" s="3" t="inlineStr"/>
      <c r="J119" s="4" t="n">
        <v>1</v>
      </c>
    </row>
    <row r="120" ht="45" customHeight="1">
      <c r="A120" s="3" t="inlineStr">
        <is>
          <t>4. CONFORMITÉ</t>
        </is>
      </c>
      <c r="B120" s="3" t="inlineStr">
        <is>
          <t>4.6 IMPORT-CONCURRENTS</t>
        </is>
      </c>
      <c r="C120" s="4" t="inlineStr">
        <is>
          <t>4.6.3</t>
        </is>
      </c>
      <c r="D120" s="3" t="inlineStr">
        <is>
          <t>Console : `window._mergeImport(DB, {logements:[{ref:'F-IMPORT-001'}]})`</t>
        </is>
      </c>
      <c r="E120" s="3" t="inlineStr">
        <is>
          <t>`{added: {logements: 1, baux: 0, mouvements: 0}, skipped: ...}`</t>
        </is>
      </c>
      <c r="F120" s="3" t="inlineStr">
        <is>
          <t>Console</t>
        </is>
      </c>
      <c r="G120" s="3" t="inlineStr">
        <is>
          <t>Échec merge</t>
        </is>
      </c>
      <c r="H120" s="4" t="inlineStr"/>
      <c r="I120" s="3" t="inlineStr"/>
      <c r="J120" s="4" t="n">
        <v>1</v>
      </c>
    </row>
    <row r="121" ht="32" customHeight="1">
      <c r="A121" s="3" t="inlineStr">
        <is>
          <t>4. CONFORMITÉ</t>
        </is>
      </c>
      <c r="B121" s="3" t="inlineStr">
        <is>
          <t>4.6 IMPORT-CONCURRENTS</t>
        </is>
      </c>
      <c r="C121" s="4" t="inlineStr">
        <is>
          <t>4.6.4</t>
        </is>
      </c>
      <c r="D121" s="3" t="inlineStr">
        <is>
          <t>Ré-exécuter même mergeImport</t>
        </is>
      </c>
      <c r="E121" s="3" t="inlineStr">
        <is>
          <t>`skipped.logements === 1` (déduplication)</t>
        </is>
      </c>
      <c r="F121" s="3" t="inlineStr">
        <is>
          <t>Console</t>
        </is>
      </c>
      <c r="G121" s="3" t="inlineStr">
        <is>
          <t>Doublons créés</t>
        </is>
      </c>
      <c r="H121" s="4" t="inlineStr"/>
      <c r="I121" s="3" t="inlineStr"/>
      <c r="J121" s="4" t="n">
        <v>1</v>
      </c>
    </row>
    <row r="122" ht="32" customHeight="1">
      <c r="A122" s="3" t="inlineStr">
        <is>
          <t>4. CONFORMITÉ</t>
        </is>
      </c>
      <c r="B122" s="3" t="inlineStr">
        <is>
          <t>4.7 MOBILE responsive</t>
        </is>
      </c>
      <c r="C122" s="4" t="inlineStr">
        <is>
          <t>4.7.1</t>
        </is>
      </c>
      <c r="D122" s="3" t="inlineStr">
        <is>
          <t>DevTools Ctrl+Shift+M → 320 px (iPhone SE)</t>
        </is>
      </c>
      <c r="E122" s="3" t="inlineStr">
        <is>
          <t>Sidebar fermée + burger menu, lisible sans scroll horizontal</t>
        </is>
      </c>
      <c r="F122" s="3" t="inlineStr">
        <is>
          <t>Visuel responsive</t>
        </is>
      </c>
      <c r="G122" s="3" t="inlineStr">
        <is>
          <t>Scroll horizontal / sidebar bloque</t>
        </is>
      </c>
      <c r="H122" s="4" t="inlineStr"/>
      <c r="I122" s="3" t="inlineStr"/>
      <c r="J122" s="4" t="n">
        <v>2</v>
      </c>
    </row>
    <row r="123" ht="32" customHeight="1">
      <c r="A123" s="3" t="inlineStr">
        <is>
          <t>4. CONFORMITÉ</t>
        </is>
      </c>
      <c r="B123" s="3" t="inlineStr">
        <is>
          <t>4.7 MOBILE responsive</t>
        </is>
      </c>
      <c r="C123" s="4" t="inlineStr">
        <is>
          <t>4.7.2</t>
        </is>
      </c>
      <c r="D123" s="3" t="inlineStr">
        <is>
          <t>390 px (iPhone 14 Pro)</t>
        </is>
      </c>
      <c r="E123" s="3" t="inlineStr">
        <is>
          <t>Modales 100dvh, boutons ≥ 44 px</t>
        </is>
      </c>
      <c r="F123" s="3" t="inlineStr">
        <is>
          <t>Visuel</t>
        </is>
      </c>
      <c r="G123" s="3" t="inlineStr">
        <is>
          <t>Modale tronquée / boutons trop petits</t>
        </is>
      </c>
      <c r="H123" s="4" t="inlineStr"/>
      <c r="I123" s="3" t="inlineStr"/>
      <c r="J123" s="4" t="n">
        <v>2</v>
      </c>
    </row>
    <row r="124" ht="32" customHeight="1">
      <c r="A124" s="3" t="inlineStr">
        <is>
          <t>4. CONFORMITÉ</t>
        </is>
      </c>
      <c r="B124" s="3" t="inlineStr">
        <is>
          <t>4.7 MOBILE responsive</t>
        </is>
      </c>
      <c r="C124" s="4" t="inlineStr">
        <is>
          <t>4.7.3</t>
        </is>
      </c>
      <c r="D124" s="3" t="inlineStr">
        <is>
          <t>428 px (iPhone Pro Max)</t>
        </is>
      </c>
      <c r="E124" s="3" t="inlineStr">
        <is>
          <t>Forms 1 colonne, labels au-dessus inputs</t>
        </is>
      </c>
      <c r="F124" s="3" t="inlineStr">
        <is>
          <t>Visuel</t>
        </is>
      </c>
      <c r="G124" s="3" t="inlineStr">
        <is>
          <t>Layout 2 cols restant</t>
        </is>
      </c>
      <c r="H124" s="4" t="inlineStr"/>
      <c r="I124" s="3" t="inlineStr"/>
      <c r="J124" s="4" t="n">
        <v>1</v>
      </c>
    </row>
    <row r="125" ht="32" customHeight="1">
      <c r="A125" s="3" t="inlineStr">
        <is>
          <t>4. CONFORMITÉ</t>
        </is>
      </c>
      <c r="B125" s="3" t="inlineStr">
        <is>
          <t>4.7 MOBILE responsive</t>
        </is>
      </c>
      <c r="C125" s="4" t="inlineStr">
        <is>
          <t>4.7.4</t>
        </is>
      </c>
      <c r="D125" s="3" t="inlineStr">
        <is>
          <t>768 px (iPad)</t>
        </is>
      </c>
      <c r="E125" s="3" t="inlineStr">
        <is>
          <t>Sidebar visible, layout 2 cols</t>
        </is>
      </c>
      <c r="F125" s="3" t="inlineStr">
        <is>
          <t>Visuel</t>
        </is>
      </c>
      <c r="G125" s="3" t="inlineStr">
        <is>
          <t>Layout cassé</t>
        </is>
      </c>
      <c r="H125" s="4" t="inlineStr"/>
      <c r="I125" s="3" t="inlineStr"/>
      <c r="J125" s="4" t="n">
        <v>1</v>
      </c>
    </row>
    <row r="126" ht="32" customHeight="1">
      <c r="A126" s="3" t="inlineStr">
        <is>
          <t>4. CONFORMITÉ</t>
        </is>
      </c>
      <c r="B126" s="3" t="inlineStr">
        <is>
          <t>4.7 MOBILE responsive</t>
        </is>
      </c>
      <c r="C126" s="4" t="inlineStr">
        <is>
          <t>4.7.5</t>
        </is>
      </c>
      <c r="D126" s="3" t="inlineStr">
        <is>
          <t>1280 px (desktop)</t>
        </is>
      </c>
      <c r="E126" s="3" t="inlineStr">
        <is>
          <t>Layout 3-4 cols selon page</t>
        </is>
      </c>
      <c r="F126" s="3" t="inlineStr">
        <is>
          <t>Visuel</t>
        </is>
      </c>
      <c r="G126" s="3" t="inlineStr">
        <is>
          <t>Layout cassé</t>
        </is>
      </c>
      <c r="H126" s="4" t="inlineStr"/>
      <c r="I126" s="3" t="inlineStr"/>
      <c r="J126" s="4" t="n">
        <v>1</v>
      </c>
    </row>
    <row r="127" ht="32" customHeight="1">
      <c r="A127" s="3" t="inlineStr">
        <is>
          <t>4. CONFORMITÉ</t>
        </is>
      </c>
      <c r="B127" s="3" t="inlineStr">
        <is>
          <t>4.7 MOBILE responsive</t>
        </is>
      </c>
      <c r="C127" s="4" t="inlineStr">
        <is>
          <t>4.7.6</t>
        </is>
      </c>
      <c r="D127" s="3" t="inlineStr">
        <is>
          <t>Cliquer bouton "btn bs" (small) sur mobile</t>
        </is>
      </c>
      <c r="E127" s="3" t="inlineStr">
        <is>
          <t>Zone tactile confortable (padding ≥ 10px)</t>
        </is>
      </c>
      <c r="F127" s="3" t="inlineStr">
        <is>
          <t>Visuel tactile</t>
        </is>
      </c>
      <c r="G127" s="3" t="inlineStr">
        <is>
          <t>Zone trop petite</t>
        </is>
      </c>
      <c r="H127" s="4" t="inlineStr"/>
      <c r="I127" s="3" t="inlineStr"/>
      <c r="J127" s="4" t="n">
        <v>1</v>
      </c>
    </row>
    <row r="128" ht="32" customHeight="1">
      <c r="A128" s="3" t="inlineStr">
        <is>
          <t>4. CONFORMITÉ</t>
        </is>
      </c>
      <c r="B128" s="3" t="inlineStr">
        <is>
          <t>4.7 MOBILE responsive</t>
        </is>
      </c>
      <c r="C128" s="4" t="inlineStr">
        <is>
          <t>4.7.7</t>
        </is>
      </c>
      <c r="D128" s="3" t="inlineStr">
        <is>
          <t>Ouvrir modale sur mobile</t>
        </is>
      </c>
      <c r="E128" s="3" t="inlineStr">
        <is>
          <t>`m-foot` sticky bottom avec safe-area iPhone</t>
        </is>
      </c>
      <c r="F128" s="3" t="inlineStr">
        <is>
          <t>Visuel</t>
        </is>
      </c>
      <c r="G128" s="3" t="inlineStr">
        <is>
          <t>Boutons sortent du viewport</t>
        </is>
      </c>
      <c r="H128" s="4" t="inlineStr"/>
      <c r="I128" s="3" t="inlineStr"/>
      <c r="J128" s="4" t="n">
        <v>1</v>
      </c>
    </row>
    <row r="129" ht="32" customHeight="1">
      <c r="A129" s="3" t="inlineStr">
        <is>
          <t>4. CONFORMITÉ</t>
        </is>
      </c>
      <c r="B129" s="3" t="inlineStr">
        <is>
          <t>4.7 MOBILE responsive</t>
        </is>
      </c>
      <c r="C129" s="4" t="inlineStr">
        <is>
          <t>4.7.8</t>
        </is>
      </c>
      <c r="D129" s="3" t="inlineStr">
        <is>
          <t>Tap input texte sur mobile (ex Nom logement)</t>
        </is>
      </c>
      <c r="E129" s="3" t="inlineStr">
        <is>
          <t>font-size 16px (aucun zoom auto iOS)</t>
        </is>
      </c>
      <c r="F129" s="3" t="inlineStr">
        <is>
          <t>Visuel + DevTools styles</t>
        </is>
      </c>
      <c r="G129" s="3" t="inlineStr">
        <is>
          <t>Zoom auto iOS Safari</t>
        </is>
      </c>
      <c r="H129" s="4" t="inlineStr"/>
      <c r="I129" s="3" t="inlineStr"/>
      <c r="J129" s="4" t="n">
        <v>1</v>
      </c>
    </row>
    <row r="130" ht="32" customHeight="1">
      <c r="A130" s="3" t="inlineStr">
        <is>
          <t>4. CONFORMITÉ</t>
        </is>
      </c>
      <c r="B130" s="3" t="inlineStr">
        <is>
          <t>4.7 MOBILE responsive</t>
        </is>
      </c>
      <c r="C130" s="4" t="inlineStr">
        <is>
          <t>4.7.9</t>
        </is>
      </c>
      <c r="D130" s="3" t="inlineStr">
        <is>
          <t>Tableau large (mouvements)</t>
        </is>
      </c>
      <c r="E130" s="3" t="inlineStr">
        <is>
          <t>Scroll horizontal `tbl-wrap`</t>
        </is>
      </c>
      <c r="F130" s="3" t="inlineStr">
        <is>
          <t>Visuel</t>
        </is>
      </c>
      <c r="G130" s="3" t="inlineStr">
        <is>
          <t>Débordement / squish</t>
        </is>
      </c>
      <c r="H130" s="4" t="inlineStr"/>
      <c r="I130" s="3" t="inlineStr"/>
      <c r="J130" s="4" t="n">
        <v>1</v>
      </c>
    </row>
    <row r="131" ht="32" customHeight="1">
      <c r="A131" s="3" t="inlineStr">
        <is>
          <t>4. CONFORMITÉ</t>
        </is>
      </c>
      <c r="B131" s="3" t="inlineStr">
        <is>
          <t>4.7 MOBILE responsive</t>
        </is>
      </c>
      <c r="C131" s="4" t="inlineStr">
        <is>
          <t>4.7.10</t>
        </is>
      </c>
      <c r="D131" s="3" t="inlineStr">
        <is>
          <t>Afficher toast sur mobile</t>
        </is>
      </c>
      <c r="E131" s="3" t="inlineStr">
        <is>
          <t>Largeur quasi pleine (left/right 12px)</t>
        </is>
      </c>
      <c r="F131" s="3" t="inlineStr">
        <is>
          <t>Visuel</t>
        </is>
      </c>
      <c r="G131" s="3" t="inlineStr">
        <is>
          <t>Largeur fixe</t>
        </is>
      </c>
      <c r="H131" s="4" t="inlineStr"/>
      <c r="I131" s="3" t="inlineStr"/>
      <c r="J131" s="4" t="n">
        <v>1</v>
      </c>
    </row>
    <row r="132" ht="32" customHeight="1">
      <c r="A132" s="2" t="inlineStr">
        <is>
          <t>5. BUGS P1</t>
        </is>
      </c>
    </row>
    <row r="133" ht="32" customHeight="1">
      <c r="A133" s="3" t="inlineStr">
        <is>
          <t>5. BUGS P1</t>
        </is>
      </c>
      <c r="B133" s="3" t="inlineStr">
        <is>
          <t>5.1 BUG-CHARGE-001</t>
        </is>
      </c>
      <c r="C133" s="4" t="inlineStr">
        <is>
          <t>5.1.2</t>
        </is>
      </c>
      <c r="D133" s="3" t="inlineStr">
        <is>
          <t>Ouvrir onglet Régul (Charges)</t>
        </is>
      </c>
      <c r="E133" s="3" t="inlineStr">
        <is>
          <t>Sans bug : provisions ≠ 0 (=800€ pour 1 mois)</t>
        </is>
      </c>
      <c r="F133" s="3" t="inlineStr">
        <is>
          <t>Visuel KPI</t>
        </is>
      </c>
      <c r="G133" s="3" t="inlineStr">
        <is>
          <t>provisions = 0 → bug régression</t>
        </is>
      </c>
      <c r="H133" s="4" t="inlineStr"/>
      <c r="I133" s="3" t="inlineStr"/>
      <c r="J133" s="4" t="n">
        <v>1</v>
      </c>
    </row>
    <row r="134" ht="45" customHeight="1">
      <c r="A134" s="3" t="inlineStr">
        <is>
          <t>5. BUGS P1</t>
        </is>
      </c>
      <c r="B134" s="3" t="inlineStr">
        <is>
          <t>5.1 BUG-CHARGE-001</t>
        </is>
      </c>
      <c r="C134" s="4" t="inlineStr">
        <is>
          <t>5.1.3</t>
        </is>
      </c>
      <c r="D134" s="3" t="inlineStr">
        <is>
          <t>Créer mvt `Provisions pour charges de copropriété` db=500 imm=Beta</t>
        </is>
      </c>
      <c r="E134" s="3" t="inlineStr">
        <is>
          <t>OK</t>
        </is>
      </c>
      <c r="F134" s="3" t="inlineStr">
        <is>
          <t>Toast</t>
        </is>
      </c>
      <c r="G134" s="3" t="inlineStr">
        <is>
          <t>Erreur</t>
        </is>
      </c>
      <c r="H134" s="4" t="inlineStr"/>
      <c r="I134" s="3" t="inlineStr"/>
      <c r="J134" s="4" t="n">
        <v>1</v>
      </c>
    </row>
    <row r="135" ht="32" customHeight="1">
      <c r="A135" s="3" t="inlineStr">
        <is>
          <t>5. BUGS P1</t>
        </is>
      </c>
      <c r="B135" s="3" t="inlineStr">
        <is>
          <t>5.1 BUG-CHARGE-001</t>
        </is>
      </c>
      <c r="C135" s="4" t="inlineStr">
        <is>
          <t>5.1.4</t>
        </is>
      </c>
      <c r="D135" s="3" t="inlineStr">
        <is>
          <t>Régul → charges réelles = 500</t>
        </is>
      </c>
      <c r="E135" s="3" t="inlineStr">
        <is>
          <t>OK</t>
        </is>
      </c>
      <c r="F135" s="3" t="inlineStr">
        <is>
          <t>Visuel</t>
        </is>
      </c>
      <c r="G135" s="3">
        <f> 0 → bug</f>
        <v/>
      </c>
      <c r="H135" s="4" t="inlineStr"/>
      <c r="I135" s="3" t="inlineStr"/>
      <c r="J135" s="4" t="n">
        <v>1</v>
      </c>
    </row>
    <row r="136" ht="32" customHeight="1">
      <c r="A136" s="3" t="inlineStr">
        <is>
          <t>5. BUGS P1</t>
        </is>
      </c>
      <c r="B136" s="3" t="inlineStr">
        <is>
          <t>5.1 BUG-CHARGE-001</t>
        </is>
      </c>
      <c r="C136" s="4" t="inlineStr">
        <is>
          <t>5.1.5</t>
        </is>
      </c>
      <c r="D136" s="3" t="inlineStr">
        <is>
          <t>Mix legacy 'Loyers' + LEGAL-2044 'Loyers encaissés'</t>
        </is>
      </c>
      <c r="E136" s="3" t="inlineStr">
        <is>
          <t>Les 2 comptés</t>
        </is>
      </c>
      <c r="F136" s="3" t="inlineStr">
        <is>
          <t>Régul calcul</t>
        </is>
      </c>
      <c r="G136" s="3" t="inlineStr">
        <is>
          <t>Un type ignoré</t>
        </is>
      </c>
      <c r="H136" s="4" t="inlineStr"/>
      <c r="I136" s="3" t="inlineStr"/>
      <c r="J136" s="4" t="n">
        <v>1</v>
      </c>
    </row>
    <row r="137" ht="45" customHeight="1">
      <c r="A137" s="3" t="inlineStr">
        <is>
          <t>5. BUGS P1</t>
        </is>
      </c>
      <c r="B137" s="3" t="inlineStr">
        <is>
          <t>5.2 BUG-DASH-001</t>
        </is>
      </c>
      <c r="C137" s="4" t="inlineStr">
        <is>
          <t>5.2.1</t>
        </is>
      </c>
      <c r="D137" s="3" t="inlineStr">
        <is>
          <t>Pré-requis : un bail avec révision IRL historique (DB.irlHistorique ≥ 1)</t>
        </is>
      </c>
      <c r="E137" s="3" t="inlineStr">
        <is>
          <t>DB peuplée</t>
        </is>
      </c>
      <c r="F137" s="3" t="inlineStr">
        <is>
          <t>Console</t>
        </is>
      </c>
      <c r="G137" s="3" t="inlineStr">
        <is>
          <t>Pas de bail testable</t>
        </is>
      </c>
      <c r="H137" s="4" t="inlineStr"/>
      <c r="I137" s="3" t="inlineStr"/>
      <c r="J137" s="4" t="n">
        <v>2</v>
      </c>
    </row>
    <row r="138" ht="32" customHeight="1">
      <c r="A138" s="3" t="inlineStr">
        <is>
          <t>5. BUGS P1</t>
        </is>
      </c>
      <c r="B138" s="3" t="inlineStr">
        <is>
          <t>5.2 BUG-DASH-001</t>
        </is>
      </c>
      <c r="C138" s="4" t="inlineStr">
        <is>
          <t>5.2.2</t>
        </is>
      </c>
      <c r="D138" s="3" t="inlineStr">
        <is>
          <t>Dashboard → mai 2024 (avant révision jan 2025)</t>
        </is>
      </c>
      <c r="E138" s="3" t="inlineStr">
        <is>
          <t>Loyer attendu = ancien HC</t>
        </is>
      </c>
      <c r="F138" s="3" t="inlineStr">
        <is>
          <t>Visuel</t>
        </is>
      </c>
      <c r="G138" s="3" t="inlineStr">
        <is>
          <t>Affiche nouveau HC</t>
        </is>
      </c>
      <c r="H138" s="4" t="inlineStr"/>
      <c r="I138" s="3" t="inlineStr"/>
      <c r="J138" s="4" t="n">
        <v>1</v>
      </c>
    </row>
    <row r="139" ht="32" customHeight="1">
      <c r="A139" s="3" t="inlineStr">
        <is>
          <t>5. BUGS P1</t>
        </is>
      </c>
      <c r="B139" s="3" t="inlineStr">
        <is>
          <t>5.2 BUG-DASH-001</t>
        </is>
      </c>
      <c r="C139" s="4" t="inlineStr">
        <is>
          <t>5.2.3</t>
        </is>
      </c>
      <c r="D139" s="3" t="inlineStr">
        <is>
          <t>Dashboard → juin 2025 (après révision)</t>
        </is>
      </c>
      <c r="E139" s="3" t="inlineStr">
        <is>
          <t>Loyer attendu = nouveau HC</t>
        </is>
      </c>
      <c r="F139" s="3" t="inlineStr">
        <is>
          <t>Visuel</t>
        </is>
      </c>
      <c r="G139" s="3" t="inlineStr">
        <is>
          <t>Affiche ancien HC</t>
        </is>
      </c>
      <c r="H139" s="4" t="inlineStr"/>
      <c r="I139" s="3" t="inlineStr"/>
      <c r="J139" s="4" t="n">
        <v>1</v>
      </c>
    </row>
    <row r="140" ht="32" customHeight="1">
      <c r="A140" s="3" t="inlineStr">
        <is>
          <t>5. BUGS P1</t>
        </is>
      </c>
      <c r="B140" s="3" t="inlineStr">
        <is>
          <t>5.2 BUG-DASH-001</t>
        </is>
      </c>
      <c r="C140" s="4" t="inlineStr">
        <is>
          <t>5.2.4</t>
        </is>
      </c>
      <c r="D140" s="3" t="inlineStr">
        <is>
          <t>Console : `_loyerHCAtDate(DB.logements[0], '2024-05-15')`</t>
        </is>
      </c>
      <c r="E140" s="3" t="inlineStr">
        <is>
          <t>Retourne ancien HC</t>
        </is>
      </c>
      <c r="F140" s="3" t="inlineStr">
        <is>
          <t>Console</t>
        </is>
      </c>
      <c r="G140" s="3" t="inlineStr">
        <is>
          <t>Retourne nouveau HC (bug)</t>
        </is>
      </c>
      <c r="H140" s="4" t="inlineStr"/>
      <c r="I140" s="3" t="inlineStr"/>
      <c r="J140" s="4" t="n">
        <v>1</v>
      </c>
    </row>
    <row r="141" ht="32" customHeight="1">
      <c r="A141" s="3" t="inlineStr">
        <is>
          <t>5. BUGS P1</t>
        </is>
      </c>
      <c r="B141" s="3" t="inlineStr">
        <is>
          <t>5.2 BUG-DASH-001</t>
        </is>
      </c>
      <c r="C141" s="4" t="inlineStr">
        <is>
          <t>5.2.5</t>
        </is>
      </c>
      <c r="D141" s="3" t="inlineStr">
        <is>
          <t>Console : `_loyerHCAtDate(DB.logements[0], '2025-06-15')`</t>
        </is>
      </c>
      <c r="E141" s="3" t="inlineStr">
        <is>
          <t>Retourne nouveau HC</t>
        </is>
      </c>
      <c r="F141" s="3" t="inlineStr">
        <is>
          <t>Console</t>
        </is>
      </c>
      <c r="G141" s="3" t="inlineStr">
        <is>
          <t>Retourne ancien HC</t>
        </is>
      </c>
      <c r="H141" s="4" t="inlineStr"/>
      <c r="I141" s="3" t="inlineStr"/>
      <c r="J141" s="4" t="n">
        <v>1</v>
      </c>
    </row>
    <row r="142" ht="45" customHeight="1">
      <c r="A142" s="3" t="inlineStr">
        <is>
          <t>5. BUGS P1</t>
        </is>
      </c>
      <c r="B142" s="3" t="inlineStr">
        <is>
          <t>5.3 DB-CORRUPT-FALLBACK</t>
        </is>
      </c>
      <c r="C142" s="4" t="inlineStr">
        <is>
          <t>5.3.1</t>
        </is>
      </c>
      <c r="D142" s="3" t="inlineStr">
        <is>
          <t>Console : `localStorage.setItem('immotrack_db_v1', '{invalide JSON')`</t>
        </is>
      </c>
      <c r="E142" s="3" t="inlineStr">
        <is>
          <t>OK silencieux</t>
        </is>
      </c>
      <c r="F142" s="3" t="inlineStr">
        <is>
          <t>Console</t>
        </is>
      </c>
      <c r="G142" s="3" t="inlineStr">
        <is>
          <t>Throw immédiat</t>
        </is>
      </c>
      <c r="H142" s="4" t="inlineStr"/>
      <c r="I142" s="3" t="inlineStr"/>
      <c r="J142" s="4" t="n">
        <v>1</v>
      </c>
    </row>
    <row r="143" ht="32" customHeight="1">
      <c r="A143" s="3" t="inlineStr">
        <is>
          <t>5. BUGS P1</t>
        </is>
      </c>
      <c r="B143" s="3" t="inlineStr">
        <is>
          <t>5.3 DB-CORRUPT-FALLBACK</t>
        </is>
      </c>
      <c r="C143" s="4" t="inlineStr">
        <is>
          <t>5.3.2</t>
        </is>
      </c>
      <c r="D143" s="3" t="inlineStr">
        <is>
          <t>F5 (rechargement)</t>
        </is>
      </c>
      <c r="E143" s="3" t="inlineStr">
        <is>
          <t>Toast erreur 12s rouge "Base corrompue"</t>
        </is>
      </c>
      <c r="F143" s="3" t="inlineStr">
        <is>
          <t>Visuel + Console</t>
        </is>
      </c>
      <c r="G143" s="3" t="inlineStr">
        <is>
          <t>App crash sans warning</t>
        </is>
      </c>
      <c r="H143" s="4" t="inlineStr"/>
      <c r="I143" s="3" t="inlineStr"/>
      <c r="J143" s="4" t="n">
        <v>1</v>
      </c>
    </row>
    <row r="144" ht="45" customHeight="1">
      <c r="A144" s="3" t="inlineStr">
        <is>
          <t>5. BUGS P1</t>
        </is>
      </c>
      <c r="B144" s="3" t="inlineStr">
        <is>
          <t>5.3 DB-CORRUPT-FALLBACK</t>
        </is>
      </c>
      <c r="C144" s="4" t="inlineStr">
        <is>
          <t>5.3.3</t>
        </is>
      </c>
      <c r="D144" s="3" t="inlineStr">
        <is>
          <t>Console : `Object.keys(localStorage).filter(k =&gt; k.includes('corrupt_backup'))`</t>
        </is>
      </c>
      <c r="E144" s="3" t="inlineStr">
        <is>
          <t>Au moins 1 clé `immotrack_db_v1_corrupt_backup_&lt;ts&gt;`</t>
        </is>
      </c>
      <c r="F144" s="3" t="inlineStr">
        <is>
          <t>Console</t>
        </is>
      </c>
      <c r="G144" s="3" t="inlineStr">
        <is>
          <t>Vide → backup pas créé</t>
        </is>
      </c>
      <c r="H144" s="4" t="inlineStr"/>
      <c r="I144" s="3" t="inlineStr"/>
      <c r="J144" s="4" t="n">
        <v>1</v>
      </c>
    </row>
    <row r="145" ht="32" customHeight="1">
      <c r="A145" s="3" t="inlineStr">
        <is>
          <t>5. BUGS P1</t>
        </is>
      </c>
      <c r="B145" s="3" t="inlineStr">
        <is>
          <t>5.4 BUG-EQUIP-FILTER</t>
        </is>
      </c>
      <c r="C145" s="4" t="inlineStr">
        <is>
          <t>5.4.1</t>
        </is>
      </c>
      <c r="D145" s="3" t="inlineStr">
        <is>
          <t>Créer un logement vacant (sans locataire)</t>
        </is>
      </c>
      <c r="E145" s="3" t="inlineStr">
        <is>
          <t>OK</t>
        </is>
      </c>
      <c r="F145" s="3" t="inlineStr">
        <is>
          <t>Toast</t>
        </is>
      </c>
      <c r="G145" s="3" t="inlineStr">
        <is>
          <t>Erreur</t>
        </is>
      </c>
      <c r="H145" s="4" t="inlineStr"/>
      <c r="I145" s="3" t="inlineStr"/>
      <c r="J145" s="4" t="n">
        <v>1</v>
      </c>
    </row>
    <row r="146" ht="32" customHeight="1">
      <c r="A146" s="3" t="inlineStr">
        <is>
          <t>5. BUGS P1</t>
        </is>
      </c>
      <c r="B146" s="3" t="inlineStr">
        <is>
          <t>5.4 BUG-EQUIP-FILTER</t>
        </is>
      </c>
      <c r="C146" s="4" t="inlineStr">
        <is>
          <t>5.4.2</t>
        </is>
      </c>
      <c r="D146" s="3" t="inlineStr">
        <is>
          <t>Onglet Équipements → sélecteur logement</t>
        </is>
      </c>
      <c r="E146" s="3" t="inlineStr">
        <is>
          <t>Logement vacant inclus avec label "Vacant"</t>
        </is>
      </c>
      <c r="F146" s="3" t="inlineStr">
        <is>
          <t>Visuel select</t>
        </is>
      </c>
      <c r="G146" s="3" t="inlineStr">
        <is>
          <t>Vacant exclu → bug régression</t>
        </is>
      </c>
      <c r="H146" s="4" t="inlineStr"/>
      <c r="I146" s="3" t="inlineStr"/>
      <c r="J146" s="4" t="n">
        <v>1</v>
      </c>
    </row>
    <row r="147" ht="32" customHeight="1">
      <c r="A147" s="3" t="inlineStr">
        <is>
          <t>5. BUGS P1</t>
        </is>
      </c>
      <c r="B147" s="3" t="inlineStr">
        <is>
          <t>5.4 BUG-EQUIP-FILTER</t>
        </is>
      </c>
      <c r="C147" s="4" t="inlineStr">
        <is>
          <t>5.4.3</t>
        </is>
      </c>
      <c r="D147" s="3" t="inlineStr">
        <is>
          <t>Sélecteur immeuble</t>
        </is>
      </c>
      <c r="E147" s="3" t="inlineStr">
        <is>
          <t>Inclut immeubles avec vacants</t>
        </is>
      </c>
      <c r="F147" s="3" t="inlineStr">
        <is>
          <t>Visuel</t>
        </is>
      </c>
      <c r="G147" s="3" t="inlineStr">
        <is>
          <t>Immeuble vacant exclu</t>
        </is>
      </c>
      <c r="H147" s="4" t="inlineStr"/>
      <c r="I147" s="3" t="inlineStr"/>
      <c r="J147" s="4" t="n">
        <v>1</v>
      </c>
    </row>
    <row r="148" ht="32" customHeight="1">
      <c r="A148" s="2" t="inlineStr">
        <is>
          <t>6. MONIT+CI</t>
        </is>
      </c>
    </row>
    <row r="149" ht="32" customHeight="1">
      <c r="A149" s="3" t="inlineStr">
        <is>
          <t>6. MONIT+CI</t>
        </is>
      </c>
      <c r="B149" s="3" t="inlineStr">
        <is>
          <t>6.1 Monitoring</t>
        </is>
      </c>
      <c r="C149" s="4" t="inlineStr">
        <is>
          <t>6.1.2</t>
        </is>
      </c>
      <c r="D149" s="3" t="inlineStr">
        <is>
          <t>Console : `window._installGlobalCapture()`</t>
        </is>
      </c>
      <c r="E149" s="3" t="inlineStr">
        <is>
          <t>Aucune erreur</t>
        </is>
      </c>
      <c r="F149" s="3" t="inlineStr">
        <is>
          <t>Console</t>
        </is>
      </c>
      <c r="G149" s="3" t="inlineStr">
        <is>
          <t>Throw</t>
        </is>
      </c>
      <c r="H149" s="4" t="inlineStr"/>
      <c r="I149" s="3" t="inlineStr"/>
      <c r="J149" s="4" t="n">
        <v>1</v>
      </c>
    </row>
    <row r="150" ht="45" customHeight="1">
      <c r="A150" s="3" t="inlineStr">
        <is>
          <t>6. MONIT+CI</t>
        </is>
      </c>
      <c r="B150" s="3" t="inlineStr">
        <is>
          <t>6.1 Monitoring</t>
        </is>
      </c>
      <c r="C150" s="4" t="inlineStr">
        <is>
          <t>6.1.3</t>
        </is>
      </c>
      <c r="D150" s="3" t="inlineStr">
        <is>
          <t>Console : `setTimeout(() =&gt; { throw new Error('Test monitoring'); }, 100)`</t>
        </is>
      </c>
      <c r="E150" s="3" t="inlineStr">
        <is>
          <t>Erreur dans console (Unhandled error)</t>
        </is>
      </c>
      <c r="F150" s="3" t="inlineStr">
        <is>
          <t>Console</t>
        </is>
      </c>
      <c r="G150" s="3" t="inlineStr">
        <is>
          <t>Aucune erreur capturée</t>
        </is>
      </c>
      <c r="H150" s="4" t="inlineStr"/>
      <c r="I150" s="3" t="inlineStr"/>
      <c r="J150" s="4" t="n">
        <v>1</v>
      </c>
    </row>
    <row r="151" ht="32" customHeight="1">
      <c r="A151" s="3" t="inlineStr">
        <is>
          <t>6. MONIT+CI</t>
        </is>
      </c>
      <c r="B151" s="3" t="inlineStr">
        <is>
          <t>6.1 Monitoring</t>
        </is>
      </c>
      <c r="C151" s="4" t="inlineStr">
        <is>
          <t>6.1.4</t>
        </is>
      </c>
      <c r="D151" s="3" t="inlineStr">
        <is>
          <t>Attendre 1s, puis `DB.errorLog.slice(-1)[0]`</t>
        </is>
      </c>
      <c r="E151" s="3" t="inlineStr">
        <is>
          <t>Objet `{ts, message: 'Test monitoring', stack, pathHash, uaHash}`</t>
        </is>
      </c>
      <c r="F151" s="3" t="inlineStr">
        <is>
          <t>Console</t>
        </is>
      </c>
      <c r="G151" s="3" t="inlineStr">
        <is>
          <t>errorLog vide → capture cassée</t>
        </is>
      </c>
      <c r="H151" s="4" t="inlineStr"/>
      <c r="I151" s="3" t="inlineStr"/>
      <c r="J151" s="4" t="n">
        <v>1</v>
      </c>
    </row>
    <row r="152" ht="32" customHeight="1">
      <c r="A152" s="3" t="inlineStr">
        <is>
          <t>6. MONIT+CI</t>
        </is>
      </c>
      <c r="B152" s="3" t="inlineStr">
        <is>
          <t>6.1 Monitoring</t>
        </is>
      </c>
      <c r="C152" s="4" t="inlineStr">
        <is>
          <t>6.1.5</t>
        </is>
      </c>
      <c r="D152" s="3" t="inlineStr">
        <is>
          <t>Console : `DB.errorLog[0].uaHash`</t>
        </is>
      </c>
      <c r="E152" s="3" t="inlineStr">
        <is>
          <t>Hash hexadécimal (PAS `Mozilla/...` clair)</t>
        </is>
      </c>
      <c r="F152" s="3" t="inlineStr">
        <is>
          <t>Console</t>
        </is>
      </c>
      <c r="G152" s="3" t="inlineStr">
        <is>
          <t>userAgent en clair → leak RGPD</t>
        </is>
      </c>
      <c r="H152" s="4" t="inlineStr"/>
      <c r="I152" s="3" t="inlineStr"/>
      <c r="J152" s="4" t="n">
        <v>1</v>
      </c>
    </row>
    <row r="153" ht="32" customHeight="1">
      <c r="A153" s="3" t="inlineStr">
        <is>
          <t>6. MONIT+CI</t>
        </is>
      </c>
      <c r="B153" s="3" t="inlineStr">
        <is>
          <t>6.1 Monitoring</t>
        </is>
      </c>
      <c r="C153" s="4" t="inlineStr">
        <is>
          <t>6.1.6</t>
        </is>
      </c>
      <c r="D153" s="3" t="inlineStr">
        <is>
          <t>Console : `_logEvent('test_event', {key: 'val'})`</t>
        </is>
      </c>
      <c r="E153" s="3" t="inlineStr">
        <is>
          <t>Objet retourné, ajouté DB.eventLog</t>
        </is>
      </c>
      <c r="F153" s="3" t="inlineStr">
        <is>
          <t>Console</t>
        </is>
      </c>
      <c r="G153" s="3" t="inlineStr">
        <is>
          <t>null retourné</t>
        </is>
      </c>
      <c r="H153" s="4" t="inlineStr"/>
      <c r="I153" s="3" t="inlineStr"/>
      <c r="J153" s="4" t="n">
        <v>1</v>
      </c>
    </row>
    <row r="154" ht="32" customHeight="1">
      <c r="A154" s="3" t="inlineStr">
        <is>
          <t>6. MONIT+CI</t>
        </is>
      </c>
      <c r="B154" s="3" t="inlineStr">
        <is>
          <t>6.1 Monitoring</t>
        </is>
      </c>
      <c r="C154" s="4" t="inlineStr">
        <is>
          <t>6.1.7</t>
        </is>
      </c>
      <c r="D154" s="3" t="inlineStr">
        <is>
          <t>Console : `_exportMonitoringLogs(DB)`</t>
        </is>
      </c>
      <c r="E154" s="3" t="inlineStr">
        <is>
          <t>String JSON avec `_meta.app === 'ImmoTrack'`, errorLog, eventLog</t>
        </is>
      </c>
      <c r="F154" s="3" t="inlineStr">
        <is>
          <t>Console</t>
        </is>
      </c>
      <c r="G154" s="3" t="inlineStr">
        <is>
          <t>Structure incorrecte</t>
        </is>
      </c>
      <c r="H154" s="4" t="inlineStr"/>
      <c r="I154" s="3" t="inlineStr"/>
      <c r="J154" s="4" t="n">
        <v>1</v>
      </c>
    </row>
    <row r="155" ht="32" customHeight="1">
      <c r="A155" s="3" t="inlineStr">
        <is>
          <t>6. MONIT+CI</t>
        </is>
      </c>
      <c r="B155" s="3" t="inlineStr">
        <is>
          <t>6.1 Monitoring</t>
        </is>
      </c>
      <c r="C155" s="4" t="inlineStr">
        <is>
          <t>6.1.8</t>
        </is>
      </c>
      <c r="D155" s="3" t="inlineStr">
        <is>
          <t>Console : `_clearMonitoringLogs(DB)`</t>
        </is>
      </c>
      <c r="E155" s="3" t="inlineStr">
        <is>
          <t>Retourne `{cleared: N}` ; DB.errorLog et eventLog vidés</t>
        </is>
      </c>
      <c r="F155" s="3" t="inlineStr">
        <is>
          <t>Console</t>
        </is>
      </c>
      <c r="G155" s="3" t="inlineStr">
        <is>
          <t>Pas vidé</t>
        </is>
      </c>
      <c r="H155" s="4" t="inlineStr"/>
      <c r="I155" s="3" t="inlineStr"/>
      <c r="J155" s="4" t="n">
        <v>1</v>
      </c>
    </row>
    <row r="156" ht="45" customHeight="1">
      <c r="A156" s="3" t="inlineStr">
        <is>
          <t>6. MONIT+CI</t>
        </is>
      </c>
      <c r="B156" s="3" t="inlineStr">
        <is>
          <t>6.1 Monitoring</t>
        </is>
      </c>
      <c r="C156" s="4" t="inlineStr">
        <is>
          <t>6.1.9</t>
        </is>
      </c>
      <c r="D156" s="3" t="inlineStr">
        <is>
          <t>Désactiver : `DB.params.monitoringEnabled = false; _logError(new Error('x'))`</t>
        </is>
      </c>
      <c r="E156" s="3" t="inlineStr">
        <is>
          <t>Retourne `null`</t>
        </is>
      </c>
      <c r="F156" s="3" t="inlineStr">
        <is>
          <t>Console</t>
        </is>
      </c>
      <c r="G156" s="3" t="inlineStr">
        <is>
          <t>Capture quand même → bug opt-out</t>
        </is>
      </c>
      <c r="H156" s="4" t="inlineStr"/>
      <c r="I156" s="3" t="inlineStr"/>
      <c r="J156" s="4" t="n">
        <v>1</v>
      </c>
    </row>
    <row r="157" ht="32" customHeight="1">
      <c r="A157" s="3" t="inlineStr">
        <is>
          <t>6. MONIT+CI</t>
        </is>
      </c>
      <c r="B157" s="3" t="inlineStr">
        <is>
          <t>6.2 CI GitHub</t>
        </is>
      </c>
      <c r="C157" s="4" t="inlineStr">
        <is>
          <t>6.2.1</t>
        </is>
      </c>
      <c r="D157" s="3" t="inlineStr">
        <is>
          <t>Terminal : `cat .github/workflows/test.yml`</t>
        </is>
      </c>
      <c r="E157" s="3" t="inlineStr">
        <is>
          <t>Workflow YAML valide</t>
        </is>
      </c>
      <c r="F157" s="3" t="inlineStr">
        <is>
          <t>Sortie cat</t>
        </is>
      </c>
      <c r="G157" s="3" t="inlineStr">
        <is>
          <t>Fichier absent</t>
        </is>
      </c>
      <c r="H157" s="4" t="inlineStr"/>
      <c r="I157" s="3" t="inlineStr"/>
      <c r="J157" s="4" t="n">
        <v>1</v>
      </c>
    </row>
    <row r="158" ht="32" customHeight="1">
      <c r="A158" s="3" t="inlineStr">
        <is>
          <t>6. MONIT+CI</t>
        </is>
      </c>
      <c r="B158" s="3" t="inlineStr">
        <is>
          <t>6.2 CI GitHub</t>
        </is>
      </c>
      <c r="C158" s="4" t="inlineStr">
        <is>
          <t>6.2.2</t>
        </is>
      </c>
      <c r="D158" s="3" t="inlineStr">
        <is>
          <t>`git push origin &lt;branche&gt;` (test)</t>
        </is>
      </c>
      <c r="E158" s="3" t="inlineStr">
        <is>
          <t>Workflow se déclenche sur GitHub</t>
        </is>
      </c>
      <c r="F158" s="3" t="inlineStr">
        <is>
          <t>GitHub Actions tab</t>
        </is>
      </c>
      <c r="G158" s="3" t="inlineStr">
        <is>
          <t>Pas déclenché</t>
        </is>
      </c>
      <c r="H158" s="4" t="inlineStr"/>
      <c r="I158" s="3" t="inlineStr"/>
      <c r="J158" s="4" t="n">
        <v>2</v>
      </c>
    </row>
    <row r="159" ht="32" customHeight="1">
      <c r="A159" s="3" t="inlineStr">
        <is>
          <t>6. MONIT+CI</t>
        </is>
      </c>
      <c r="B159" s="3" t="inlineStr">
        <is>
          <t>6.2 CI GitHub</t>
        </is>
      </c>
      <c r="C159" s="4" t="inlineStr">
        <is>
          <t>6.2.3</t>
        </is>
      </c>
      <c r="D159" s="3" t="inlineStr">
        <is>
          <t>Vérifier workflow vert (Vitest + syntax)</t>
        </is>
      </c>
      <c r="E159" s="3" t="inlineStr">
        <is>
          <t>Tout passe vert</t>
        </is>
      </c>
      <c r="F159" s="3" t="inlineStr">
        <is>
          <t>GitHub Actions</t>
        </is>
      </c>
      <c r="G159" s="3" t="inlineStr">
        <is>
          <t>Rouge → analyser logs</t>
        </is>
      </c>
      <c r="H159" s="4" t="inlineStr"/>
      <c r="I159" s="3" t="inlineStr"/>
      <c r="J159" s="4" t="n">
        <v>5</v>
      </c>
    </row>
    <row r="160" ht="32" customHeight="1">
      <c r="A160" s="3" t="inlineStr">
        <is>
          <t>6. MONIT+CI</t>
        </is>
      </c>
      <c r="B160" s="3" t="inlineStr">
        <is>
          <t>6.2 CI GitHub</t>
        </is>
      </c>
      <c r="C160" s="4" t="inlineStr">
        <is>
          <t>6.2.4</t>
        </is>
      </c>
      <c r="D160" s="3" t="inlineStr">
        <is>
          <t>Ouvrir une PR</t>
        </is>
      </c>
      <c r="E160" s="3" t="inlineStr">
        <is>
          <t>Workflow se relance auto</t>
        </is>
      </c>
      <c r="F160" s="3" t="inlineStr">
        <is>
          <t>GitHub PR</t>
        </is>
      </c>
      <c r="G160" s="3" t="inlineStr">
        <is>
          <t>Pas relancé</t>
        </is>
      </c>
      <c r="H160" s="4" t="inlineStr"/>
      <c r="I160" s="3" t="inlineStr"/>
      <c r="J160" s="4" t="n">
        <v>1</v>
      </c>
    </row>
    <row r="161" ht="32" customHeight="1">
      <c r="A161" s="2" t="inlineStr">
        <is>
          <t>7. EMAIL-AUTO</t>
        </is>
      </c>
    </row>
    <row r="162" ht="32" customHeight="1">
      <c r="A162" s="3" t="inlineStr">
        <is>
          <t>7. EMAIL-AUTO</t>
        </is>
      </c>
      <c r="B162" s="3" t="inlineStr">
        <is>
          <t>7. Email</t>
        </is>
      </c>
      <c r="C162" s="4" t="inlineStr">
        <is>
          <t>7.2</t>
        </is>
      </c>
      <c r="D162" s="3" t="inlineStr">
        <is>
          <t>Console : `window._emailCompose(...)`</t>
        </is>
      </c>
      <c r="E162" s="3" t="inlineStr">
        <is>
          <t>Objet `{sujet, corps, destinataires}`</t>
        </is>
      </c>
      <c r="F162" s="3" t="inlineStr">
        <is>
          <t>Console</t>
        </is>
      </c>
      <c r="G162" s="3" t="inlineStr">
        <is>
          <t>throw</t>
        </is>
      </c>
      <c r="H162" s="4" t="inlineStr"/>
      <c r="I162" s="3" t="inlineStr"/>
      <c r="J162" s="4" t="n">
        <v>1</v>
      </c>
    </row>
    <row r="163" ht="45" customHeight="1">
      <c r="A163" s="3" t="inlineStr">
        <is>
          <t>7. EMAIL-AUTO</t>
        </is>
      </c>
      <c r="B163" s="3" t="inlineStr">
        <is>
          <t>7. Email</t>
        </is>
      </c>
      <c r="C163" s="4" t="inlineStr">
        <is>
          <t>7.3</t>
        </is>
      </c>
      <c r="D163" s="3" t="inlineStr">
        <is>
          <t>UI : trouver bouton Email dans l'app (selon impl. autre session)</t>
        </is>
      </c>
      <c r="E163" s="3" t="inlineStr">
        <is>
          <t>Bouton(s) sur fiches/baux/quittances</t>
        </is>
      </c>
      <c r="F163" s="3" t="inlineStr">
        <is>
          <t>Visuel UI</t>
        </is>
      </c>
      <c r="G163" s="3" t="inlineStr">
        <is>
          <t>Pas de bouton (UI à venir)</t>
        </is>
      </c>
      <c r="H163" s="4" t="inlineStr"/>
      <c r="I163" s="3" t="inlineStr"/>
      <c r="J163" s="4" t="n">
        <v>2</v>
      </c>
    </row>
    <row r="164" ht="32" customHeight="1">
      <c r="A164" s="3" t="inlineStr">
        <is>
          <t>7. EMAIL-AUTO</t>
        </is>
      </c>
      <c r="B164" s="3" t="inlineStr">
        <is>
          <t>7. Email</t>
        </is>
      </c>
      <c r="C164" s="4" t="inlineStr">
        <is>
          <t>7.4</t>
        </is>
      </c>
      <c r="D164" s="3" t="inlineStr">
        <is>
          <t>Console : `DB.emailsSent`</t>
        </is>
      </c>
      <c r="E164" s="3" t="inlineStr">
        <is>
          <t>Array (vide ou peuplé)</t>
        </is>
      </c>
      <c r="F164" s="3" t="inlineStr">
        <is>
          <t>Console</t>
        </is>
      </c>
      <c r="G164" s="3" t="inlineStr">
        <is>
          <t>undefined → DB pas initialisée</t>
        </is>
      </c>
      <c r="H164" s="4" t="inlineStr"/>
      <c r="I164" s="3" t="inlineStr"/>
      <c r="J164" s="4" t="n">
        <v>1</v>
      </c>
    </row>
    <row r="165" ht="32" customHeight="1">
      <c r="A165" s="2" t="inlineStr">
        <is>
          <t>8. DRIVE SYNC</t>
        </is>
      </c>
    </row>
    <row r="166" ht="32" customHeight="1">
      <c r="A166" s="3" t="inlineStr">
        <is>
          <t>8. DRIVE SYNC</t>
        </is>
      </c>
      <c r="B166" s="3" t="inlineStr">
        <is>
          <t>8. Drive</t>
        </is>
      </c>
      <c r="C166" s="4" t="inlineStr">
        <is>
          <t>8.2</t>
        </is>
      </c>
      <c r="D166" s="3" t="inlineStr">
        <is>
          <t>Vérifier compte Drive → dossier `ImmoTrack/` créé</t>
        </is>
      </c>
      <c r="E166" s="3" t="inlineStr">
        <is>
          <t>OK</t>
        </is>
      </c>
      <c r="F166" s="3" t="inlineStr">
        <is>
          <t>Google Drive web</t>
        </is>
      </c>
      <c r="G166" s="3" t="inlineStr">
        <is>
          <t>Dossier absent</t>
        </is>
      </c>
      <c r="H166" s="4" t="inlineStr"/>
      <c r="I166" s="3" t="inlineStr"/>
      <c r="J166" s="4" t="n">
        <v>1</v>
      </c>
    </row>
    <row r="167" ht="45" customHeight="1">
      <c r="A167" s="3" t="inlineStr">
        <is>
          <t>8. DRIVE SYNC</t>
        </is>
      </c>
      <c r="B167" s="3" t="inlineStr">
        <is>
          <t>8. Drive</t>
        </is>
      </c>
      <c r="C167" s="4" t="inlineStr">
        <is>
          <t>8.3</t>
        </is>
      </c>
      <c r="D167" s="3" t="inlineStr">
        <is>
          <t>Structure `ImmoTrack/&lt;entité&gt;/&lt;immeuble&gt;/&lt;logement&gt;/` avec 9 sous-dossiers (EDL/Bail/Documents/Photos/Quittances/IRL/MRH/Travaux/Charges)</t>
        </is>
      </c>
      <c r="E167" s="3" t="inlineStr">
        <is>
          <t>9 sous-dossiers présents</t>
        </is>
      </c>
      <c r="F167" s="3" t="inlineStr">
        <is>
          <t>Drive</t>
        </is>
      </c>
      <c r="G167" s="3" t="inlineStr">
        <is>
          <t>Sous-dossier manquant</t>
        </is>
      </c>
      <c r="H167" s="4" t="inlineStr"/>
      <c r="I167" s="3" t="inlineStr"/>
      <c r="J167" s="4" t="n">
        <v>3</v>
      </c>
    </row>
    <row r="168" ht="32" customHeight="1">
      <c r="A168" s="3" t="inlineStr">
        <is>
          <t>8. DRIVE SYNC</t>
        </is>
      </c>
      <c r="B168" s="3" t="inlineStr">
        <is>
          <t>8. Drive</t>
        </is>
      </c>
      <c r="C168" s="4" t="inlineStr">
        <is>
          <t>8.4</t>
        </is>
      </c>
      <c r="D168" s="3" t="inlineStr">
        <is>
          <t>Vérifier fichier `entity-*.json` ou `user-*.json` racine</t>
        </is>
      </c>
      <c r="E168" s="3" t="inlineStr">
        <is>
          <t>OK</t>
        </is>
      </c>
      <c r="F168" s="3" t="inlineStr">
        <is>
          <t>Drive</t>
        </is>
      </c>
      <c r="G168" s="3" t="inlineStr">
        <is>
          <t>Absent</t>
        </is>
      </c>
      <c r="H168" s="4" t="inlineStr"/>
      <c r="I168" s="3" t="inlineStr"/>
      <c r="J168" s="4" t="n">
        <v>1</v>
      </c>
    </row>
    <row r="169" ht="32" customHeight="1">
      <c r="A169" s="3" t="inlineStr">
        <is>
          <t>8. DRIVE SYNC</t>
        </is>
      </c>
      <c r="B169" s="3" t="inlineStr">
        <is>
          <t>8. Drive</t>
        </is>
      </c>
      <c r="C169" s="4" t="inlineStr">
        <is>
          <t>8.5</t>
        </is>
      </c>
      <c r="D169" s="3" t="inlineStr">
        <is>
          <t>Modifier 1 mouvement → push auto</t>
        </is>
      </c>
      <c r="E169" s="3" t="inlineStr">
        <is>
          <t>Toast "✅ Synchronisé"</t>
        </is>
      </c>
      <c r="F169" s="3" t="inlineStr">
        <is>
          <t>Toast</t>
        </is>
      </c>
      <c r="G169" s="3" t="inlineStr">
        <is>
          <t>Pas de sync auto</t>
        </is>
      </c>
      <c r="H169" s="4" t="inlineStr"/>
      <c r="I169" s="3" t="inlineStr"/>
      <c r="J169" s="4" t="n">
        <v>2</v>
      </c>
    </row>
    <row r="170" ht="32" customHeight="1">
      <c r="A170" s="3" t="inlineStr">
        <is>
          <t>8. DRIVE SYNC</t>
        </is>
      </c>
      <c r="B170" s="3" t="inlineStr">
        <is>
          <t>8. Drive</t>
        </is>
      </c>
      <c r="C170" s="4" t="inlineStr">
        <is>
          <t>8.6</t>
        </is>
      </c>
      <c r="D170" s="3" t="inlineStr">
        <is>
          <t>Sur 2ème device (ou reset DB local) : pull</t>
        </is>
      </c>
      <c r="E170" s="3" t="inlineStr">
        <is>
          <t>Données rechargées</t>
        </is>
      </c>
      <c r="F170" s="3" t="inlineStr">
        <is>
          <t>Visuel UI</t>
        </is>
      </c>
      <c r="G170" s="3" t="inlineStr">
        <is>
          <t>Pull échoue</t>
        </is>
      </c>
      <c r="H170" s="4" t="inlineStr"/>
      <c r="I170" s="3" t="inlineStr"/>
      <c r="J170" s="4" t="n">
        <v>5</v>
      </c>
    </row>
    <row r="171" ht="32" customHeight="1">
      <c r="A171" s="3" t="inlineStr">
        <is>
          <t>8. DRIVE SYNC</t>
        </is>
      </c>
      <c r="B171" s="3" t="inlineStr">
        <is>
          <t>8. Drive</t>
        </is>
      </c>
      <c r="C171" s="4" t="inlineStr">
        <is>
          <t>8.7</t>
        </is>
      </c>
      <c r="D171" s="3" t="inlineStr">
        <is>
          <t>Console après pull : `DB.auditTrail.slice(-1)[0]`</t>
        </is>
      </c>
      <c r="E171" s="3" t="inlineStr">
        <is>
          <t>Inclut entrées sync</t>
        </is>
      </c>
      <c r="F171" s="3" t="inlineStr">
        <is>
          <t>Console</t>
        </is>
      </c>
      <c r="G171" s="3" t="inlineStr">
        <is>
          <t>Pas d'audit pull</t>
        </is>
      </c>
      <c r="H171" s="4" t="inlineStr"/>
      <c r="I171" s="3" t="inlineStr"/>
      <c r="J171" s="4" t="n">
        <v>1</v>
      </c>
    </row>
    <row r="172" ht="32" customHeight="1">
      <c r="A172" s="3" t="inlineStr">
        <is>
          <t>8. DRIVE SYNC</t>
        </is>
      </c>
      <c r="B172" s="3" t="inlineStr">
        <is>
          <t>8. Drive</t>
        </is>
      </c>
      <c r="C172" s="4" t="inlineStr">
        <is>
          <t>8.8</t>
        </is>
      </c>
      <c r="D172" s="3" t="inlineStr">
        <is>
          <t>Supprimer 1 logement → tombstone propagé</t>
        </is>
      </c>
      <c r="E172" s="3" t="inlineStr">
        <is>
          <t>Logement disparaît sur 2ème device</t>
        </is>
      </c>
      <c r="F172" s="3" t="inlineStr">
        <is>
          <t>Visuel</t>
        </is>
      </c>
      <c r="G172" s="3" t="inlineStr">
        <is>
          <t>Logement ressuscite</t>
        </is>
      </c>
      <c r="H172" s="4" t="inlineStr"/>
      <c r="I172" s="3" t="inlineStr"/>
      <c r="J172" s="4" t="n">
        <v>2</v>
      </c>
    </row>
    <row r="173" ht="32" customHeight="1">
      <c r="A173" s="2" t="inlineStr">
        <is>
          <t>9. PARCOURS</t>
        </is>
      </c>
    </row>
    <row r="174" ht="32" customHeight="1">
      <c r="A174" s="3" t="inlineStr">
        <is>
          <t>9. PARCOURS</t>
        </is>
      </c>
      <c r="B174" s="3" t="inlineStr">
        <is>
          <t>9.1 Bailleur particulier</t>
        </is>
      </c>
      <c r="C174" s="4" t="inlineStr">
        <is>
          <t>9.1.2</t>
        </is>
      </c>
      <c r="D174" s="3" t="inlineStr">
        <is>
          <t>Créer 1 immeuble "Immeuble Test" attaché</t>
        </is>
      </c>
      <c r="E174" s="3" t="inlineStr">
        <is>
          <t>Apparaît fiche bailleur</t>
        </is>
      </c>
      <c r="F174" s="3" t="inlineStr">
        <is>
          <t>Visuel</t>
        </is>
      </c>
      <c r="G174" s="3" t="inlineStr">
        <is>
          <t>Pas rattaché</t>
        </is>
      </c>
      <c r="H174" s="4" t="inlineStr"/>
      <c r="I174" s="3" t="inlineStr"/>
      <c r="J174" s="4" t="n">
        <v>1</v>
      </c>
    </row>
    <row r="175" ht="32" customHeight="1">
      <c r="A175" s="3" t="inlineStr">
        <is>
          <t>9. PARCOURS</t>
        </is>
      </c>
      <c r="B175" s="3" t="inlineStr">
        <is>
          <t>9.1 Bailleur particulier</t>
        </is>
      </c>
      <c r="C175" s="4" t="inlineStr">
        <is>
          <t>9.1.3</t>
        </is>
      </c>
      <c r="D175" s="3" t="inlineStr">
        <is>
          <t>Créer logement "TEST-001" T2 50m² hc=800 ch=50</t>
        </is>
      </c>
      <c r="E175" s="3" t="inlineStr">
        <is>
          <t>Apparaît Biens</t>
        </is>
      </c>
      <c r="F175" s="3" t="inlineStr">
        <is>
          <t>Visuel</t>
        </is>
      </c>
      <c r="G175" s="3" t="inlineStr">
        <is>
          <t>Erreur</t>
        </is>
      </c>
      <c r="H175" s="4" t="inlineStr"/>
      <c r="I175" s="3" t="inlineStr"/>
      <c r="J175" s="4" t="n">
        <v>1</v>
      </c>
    </row>
    <row r="176" ht="32" customHeight="1">
      <c r="A176" s="3" t="inlineStr">
        <is>
          <t>9. PARCOURS</t>
        </is>
      </c>
      <c r="B176" s="3" t="inlineStr">
        <is>
          <t>9.1 Bailleur particulier</t>
        </is>
      </c>
      <c r="C176" s="4" t="inlineStr">
        <is>
          <t>9.1.4</t>
        </is>
      </c>
      <c r="D176" s="3" t="inlineStr">
        <is>
          <t>Créer bail locataire "MARTIN Jean" début 2024-01-01 IRL T4</t>
        </is>
      </c>
      <c r="E176" s="3" t="inlineStr">
        <is>
          <t>Apparaît Baux</t>
        </is>
      </c>
      <c r="F176" s="3" t="inlineStr">
        <is>
          <t>Visuel</t>
        </is>
      </c>
      <c r="G176" s="3" t="inlineStr">
        <is>
          <t>Erreur</t>
        </is>
      </c>
      <c r="H176" s="4" t="inlineStr"/>
      <c r="I176" s="3" t="inlineStr"/>
      <c r="J176" s="4" t="n">
        <v>2</v>
      </c>
    </row>
    <row r="177" ht="45" customHeight="1">
      <c r="A177" s="3" t="inlineStr">
        <is>
          <t>9. PARCOURS</t>
        </is>
      </c>
      <c r="B177" s="3" t="inlineStr">
        <is>
          <t>9.1 Bailleur particulier</t>
        </is>
      </c>
      <c r="C177" s="4" t="inlineStr">
        <is>
          <t>9.1.5</t>
        </is>
      </c>
      <c r="D177" s="3" t="inlineStr">
        <is>
          <t>Saisir 12 mvts loyers mensuels 2025 (800€ cat 'Loyers encaissés' qui=TEST-001)</t>
        </is>
      </c>
      <c r="E177" s="3" t="inlineStr">
        <is>
          <t>12 mvts visibles</t>
        </is>
      </c>
      <c r="F177" s="3" t="inlineStr">
        <is>
          <t>Tableau mouvements</t>
        </is>
      </c>
      <c r="G177" s="3" t="inlineStr">
        <is>
          <t>Mvts manquants</t>
        </is>
      </c>
      <c r="H177" s="4" t="inlineStr"/>
      <c r="I177" s="3" t="inlineStr"/>
      <c r="J177" s="4" t="n">
        <v>5</v>
      </c>
    </row>
    <row r="178" ht="32" customHeight="1">
      <c r="A178" s="3" t="inlineStr">
        <is>
          <t>9. PARCOURS</t>
        </is>
      </c>
      <c r="B178" s="3" t="inlineStr">
        <is>
          <t>9.1 Bailleur particulier</t>
        </is>
      </c>
      <c r="C178" s="4" t="inlineStr">
        <is>
          <t>9.1.6</t>
        </is>
      </c>
      <c r="D178" s="3" t="inlineStr">
        <is>
          <t>Saisir 2 mvts charges (cat 'Provisions copropriété' db=200)</t>
        </is>
      </c>
      <c r="E178" s="3" t="inlineStr">
        <is>
          <t>2 mvts</t>
        </is>
      </c>
      <c r="F178" s="3" t="inlineStr">
        <is>
          <t>Tableau</t>
        </is>
      </c>
      <c r="G178" s="3" t="inlineStr">
        <is>
          <t>Mvts perdus</t>
        </is>
      </c>
      <c r="H178" s="4" t="inlineStr"/>
      <c r="I178" s="3" t="inlineStr"/>
      <c r="J178" s="4" t="n">
        <v>2</v>
      </c>
    </row>
    <row r="179" ht="32" customHeight="1">
      <c r="A179" s="3" t="inlineStr">
        <is>
          <t>9. PARCOURS</t>
        </is>
      </c>
      <c r="B179" s="3" t="inlineStr">
        <is>
          <t>9.1 Bailleur particulier</t>
        </is>
      </c>
      <c r="C179" s="4" t="inlineStr">
        <is>
          <t>9.1.7</t>
        </is>
      </c>
      <c r="D179" s="3" t="inlineStr">
        <is>
          <t>1 mvt travaux (cat 'Travaux réparation' db=500)</t>
        </is>
      </c>
      <c r="E179" s="3" t="inlineStr">
        <is>
          <t>OK</t>
        </is>
      </c>
      <c r="F179" s="3" t="inlineStr">
        <is>
          <t>Tableau</t>
        </is>
      </c>
      <c r="G179" s="3" t="inlineStr">
        <is>
          <t>Erreur</t>
        </is>
      </c>
      <c r="H179" s="4" t="inlineStr"/>
      <c r="I179" s="3" t="inlineStr"/>
      <c r="J179" s="4" t="n">
        <v>1</v>
      </c>
    </row>
    <row r="180" ht="32" customHeight="1">
      <c r="A180" s="3" t="inlineStr">
        <is>
          <t>9. PARCOURS</t>
        </is>
      </c>
      <c r="B180" s="3" t="inlineStr">
        <is>
          <t>9.1 Bailleur particulier</t>
        </is>
      </c>
      <c r="C180" s="4" t="inlineStr">
        <is>
          <t>9.1.8</t>
        </is>
      </c>
      <c r="D180" s="3" t="inlineStr">
        <is>
          <t>1 mvt taxe foncière (cat 'Taxe foncière' db=600)</t>
        </is>
      </c>
      <c r="E180" s="3" t="inlineStr">
        <is>
          <t>OK</t>
        </is>
      </c>
      <c r="F180" s="3" t="inlineStr">
        <is>
          <t>Tableau</t>
        </is>
      </c>
      <c r="G180" s="3" t="inlineStr">
        <is>
          <t>Erreur</t>
        </is>
      </c>
      <c r="H180" s="4" t="inlineStr"/>
      <c r="I180" s="3" t="inlineStr"/>
      <c r="J180" s="4" t="n">
        <v>1</v>
      </c>
    </row>
    <row r="181" ht="32" customHeight="1">
      <c r="A181" s="3" t="inlineStr">
        <is>
          <t>9. PARCOURS</t>
        </is>
      </c>
      <c r="B181" s="3" t="inlineStr">
        <is>
          <t>9.1 Bailleur particulier</t>
        </is>
      </c>
      <c r="C181" s="4" t="inlineStr">
        <is>
          <t>9.1.9</t>
        </is>
      </c>
      <c r="D181" s="3" t="inlineStr">
        <is>
          <t>Onglet Quittances → vérifier 12 quittances auto-générées</t>
        </is>
      </c>
      <c r="E181" s="3" t="inlineStr">
        <is>
          <t>12 lignes</t>
        </is>
      </c>
      <c r="F181" s="3" t="inlineStr">
        <is>
          <t>Tableau quittances</t>
        </is>
      </c>
      <c r="G181" s="3" t="inlineStr">
        <is>
          <t>Manque quittances → quittAutoGen ne fonctionne pas</t>
        </is>
      </c>
      <c r="H181" s="4" t="inlineStr"/>
      <c r="I181" s="3" t="inlineStr"/>
      <c r="J181" s="4" t="n">
        <v>2</v>
      </c>
    </row>
    <row r="182" ht="32" customHeight="1">
      <c r="A182" s="3" t="inlineStr">
        <is>
          <t>9. PARCOURS</t>
        </is>
      </c>
      <c r="B182" s="3" t="inlineStr">
        <is>
          <t>9.1 Bailleur particulier</t>
        </is>
      </c>
      <c r="C182" s="4" t="inlineStr">
        <is>
          <t>9.1.10</t>
        </is>
      </c>
      <c r="D182" s="3" t="inlineStr">
        <is>
          <t>Onglet Régul → vérifier régul 2025 calculée</t>
        </is>
      </c>
      <c r="E182" s="3" t="inlineStr">
        <is>
          <t>Provisions ≠ 0, charges réelles cohérentes</t>
        </is>
      </c>
      <c r="F182" s="3" t="inlineStr">
        <is>
          <t>Visuel KPI</t>
        </is>
      </c>
      <c r="G182" s="3" t="inlineStr">
        <is>
          <t>Calcul faux</t>
        </is>
      </c>
      <c r="H182" s="4" t="inlineStr"/>
      <c r="I182" s="3" t="inlineStr"/>
      <c r="J182" s="4" t="n">
        <v>2</v>
      </c>
    </row>
    <row r="183" ht="32" customHeight="1">
      <c r="A183" s="3" t="inlineStr">
        <is>
          <t>9. PARCOURS</t>
        </is>
      </c>
      <c r="B183" s="3" t="inlineStr">
        <is>
          <t>9.1 Bailleur particulier</t>
        </is>
      </c>
      <c r="C183" s="4" t="inlineStr">
        <is>
          <t>9.1.11</t>
        </is>
      </c>
      <c r="D183" s="3" t="inlineStr">
        <is>
          <t>Export → Aide 2044 → résultat foncier cohérent</t>
        </is>
      </c>
      <c r="E183" s="3" t="inlineStr">
        <is>
          <t>`(800×12) - (200×2 + 500 + 600) = 8100€`</t>
        </is>
      </c>
      <c r="F183" s="3" t="inlineStr">
        <is>
          <t>Texte récap</t>
        </is>
      </c>
      <c r="G183" s="3" t="inlineStr">
        <is>
          <t>Valeur différente</t>
        </is>
      </c>
      <c r="H183" s="4" t="inlineStr"/>
      <c r="I183" s="3" t="inlineStr"/>
      <c r="J183" s="4" t="n">
        <v>3</v>
      </c>
    </row>
    <row r="184" ht="32" customHeight="1">
      <c r="A184" s="3" t="inlineStr">
        <is>
          <t>9. PARCOURS</t>
        </is>
      </c>
      <c r="B184" s="3" t="inlineStr">
        <is>
          <t>9.1 Bailleur particulier</t>
        </is>
      </c>
      <c r="C184" s="4" t="inlineStr">
        <is>
          <t>9.1.12</t>
        </is>
      </c>
      <c r="D184" s="3" t="inlineStr">
        <is>
          <t>Export → Bilan annuel → KPIs</t>
        </is>
      </c>
      <c r="E184" s="3" t="inlineStr">
        <is>
          <t>Tx occupation 100%, cash-flow ~8100</t>
        </is>
      </c>
      <c r="F184" s="3" t="inlineStr">
        <is>
          <t>Texte récap</t>
        </is>
      </c>
      <c r="G184" s="3" t="inlineStr">
        <is>
          <t>Valeurs incohérentes</t>
        </is>
      </c>
      <c r="H184" s="4" t="inlineStr"/>
      <c r="I184" s="3" t="inlineStr"/>
      <c r="J184" s="4" t="n">
        <v>2</v>
      </c>
    </row>
    <row r="185" ht="32" customHeight="1">
      <c r="A185" s="3" t="inlineStr">
        <is>
          <t>9. PARCOURS</t>
        </is>
      </c>
      <c r="B185" s="3" t="inlineStr">
        <is>
          <t>9.1 Bailleur particulier</t>
        </is>
      </c>
      <c r="C185" s="4" t="inlineStr">
        <is>
          <t>9.1.13</t>
        </is>
      </c>
      <c r="D185" s="3" t="inlineStr">
        <is>
          <t>Export → FEC téléchargé</t>
        </is>
      </c>
      <c r="E185" s="3" t="inlineStr">
        <is>
          <t>12 lignes loyer + 4 lignes charges = 32 écritures partie double</t>
        </is>
      </c>
      <c r="F185" s="3" t="inlineStr">
        <is>
          <t>Texte FEC</t>
        </is>
      </c>
      <c r="G185" s="3" t="inlineStr">
        <is>
          <t>Nombre incorrect</t>
        </is>
      </c>
      <c r="H185" s="4" t="inlineStr"/>
      <c r="I185" s="3" t="inlineStr"/>
      <c r="J185" s="4" t="n">
        <v>3</v>
      </c>
    </row>
    <row r="186" ht="32" customHeight="1">
      <c r="A186" s="3" t="inlineStr">
        <is>
          <t>9. PARCOURS</t>
        </is>
      </c>
      <c r="B186" s="3" t="inlineStr">
        <is>
          <t>9.1 Bailleur particulier</t>
        </is>
      </c>
      <c r="C186" s="4" t="inlineStr">
        <is>
          <t>9.1.14</t>
        </is>
      </c>
      <c r="D186" s="3" t="inlineStr">
        <is>
          <t>Console : `DB.auditTrail.length` après parcours complet</t>
        </is>
      </c>
      <c r="E186" s="3" t="inlineStr">
        <is>
          <t>≥ 16 entrées (création + 12 mvts + autres)</t>
        </is>
      </c>
      <c r="F186" s="3" t="inlineStr">
        <is>
          <t>Console</t>
        </is>
      </c>
      <c r="G186" s="3" t="inlineStr">
        <is>
          <t>&lt; 16 → hooks manquants</t>
        </is>
      </c>
      <c r="H186" s="4" t="inlineStr"/>
      <c r="I186" s="3" t="inlineStr"/>
      <c r="J186" s="4" t="n">
        <v>1</v>
      </c>
    </row>
    <row r="187" ht="32" customHeight="1">
      <c r="A187" s="3" t="inlineStr">
        <is>
          <t>9. PARCOURS</t>
        </is>
      </c>
      <c r="B187" s="3" t="inlineStr">
        <is>
          <t>9.2 IRL complet</t>
        </is>
      </c>
      <c r="C187" s="4" t="inlineStr">
        <is>
          <t>9.2.1</t>
        </is>
      </c>
      <c r="D187" s="3" t="inlineStr">
        <is>
          <t>Saisir DPE classe D pour TEST-001 + date 2024-06-01</t>
        </is>
      </c>
      <c r="E187" s="3" t="inlineStr">
        <is>
          <t>OK save</t>
        </is>
      </c>
      <c r="F187" s="3" t="inlineStr">
        <is>
          <t>Toast</t>
        </is>
      </c>
      <c r="G187" s="3" t="inlineStr">
        <is>
          <t>Erreur</t>
        </is>
      </c>
      <c r="H187" s="4" t="inlineStr"/>
      <c r="I187" s="3" t="inlineStr"/>
      <c r="J187" s="4" t="n">
        <v>1</v>
      </c>
    </row>
    <row r="188" ht="45" customHeight="1">
      <c r="A188" s="3" t="inlineStr">
        <is>
          <t>9. PARCOURS</t>
        </is>
      </c>
      <c r="B188" s="3" t="inlineStr">
        <is>
          <t>9.2 IRL complet</t>
        </is>
      </c>
      <c r="C188" s="4" t="inlineStr">
        <is>
          <t>9.2.2</t>
        </is>
      </c>
      <c r="D188" s="3" t="inlineStr">
        <is>
          <t>Vérifier IRL calculée (bail début 2024-01, anniv 1er janv 2025)</t>
        </is>
      </c>
      <c r="E188" s="3" t="inlineStr">
        <is>
          <t>Onglet IRL ligne "À préparer"</t>
        </is>
      </c>
      <c r="F188" s="3" t="inlineStr">
        <is>
          <t>Visuel IRL</t>
        </is>
      </c>
      <c r="G188" s="3" t="inlineStr">
        <is>
          <t>Pas de ligne → bug calcul</t>
        </is>
      </c>
      <c r="H188" s="4" t="inlineStr"/>
      <c r="I188" s="3" t="inlineStr"/>
      <c r="J188" s="4" t="n">
        <v>2</v>
      </c>
    </row>
    <row r="189" ht="32" customHeight="1">
      <c r="A189" s="3" t="inlineStr">
        <is>
          <t>9. PARCOURS</t>
        </is>
      </c>
      <c r="B189" s="3" t="inlineStr">
        <is>
          <t>9.2 IRL complet</t>
        </is>
      </c>
      <c r="C189" s="4" t="inlineStr">
        <is>
          <t>9.2.3</t>
        </is>
      </c>
      <c r="D189" s="3" t="inlineStr">
        <is>
          <t>Bouton "👁 Aperçu" → modal lettre IRL</t>
        </is>
      </c>
      <c r="E189" s="3" t="inlineStr">
        <is>
          <t>Lettre rendue avec mois anniversaire</t>
        </is>
      </c>
      <c r="F189" s="3" t="inlineStr">
        <is>
          <t>Visuel</t>
        </is>
      </c>
      <c r="G189" s="3" t="inlineStr">
        <is>
          <t>Modal vide</t>
        </is>
      </c>
      <c r="H189" s="4" t="inlineStr"/>
      <c r="I189" s="3" t="inlineStr"/>
      <c r="J189" s="4" t="n">
        <v>1</v>
      </c>
    </row>
    <row r="190" ht="32" customHeight="1">
      <c r="A190" s="3" t="inlineStr">
        <is>
          <t>9. PARCOURS</t>
        </is>
      </c>
      <c r="B190" s="3" t="inlineStr">
        <is>
          <t>9.2 IRL complet</t>
        </is>
      </c>
      <c r="C190" s="4" t="inlineStr">
        <is>
          <t>9.2.4</t>
        </is>
      </c>
      <c r="D190" s="3" t="inlineStr">
        <is>
          <t>Bouton "Valider envoi" → enveloppe verte</t>
        </is>
      </c>
      <c r="E190" s="3" t="inlineStr">
        <is>
          <t>Toast OK</t>
        </is>
      </c>
      <c r="F190" s="3" t="inlineStr">
        <is>
          <t>Visuel + toast</t>
        </is>
      </c>
      <c r="G190" s="3" t="inlineStr">
        <is>
          <t>Erreur</t>
        </is>
      </c>
      <c r="H190" s="4" t="inlineStr"/>
      <c r="I190" s="3" t="inlineStr"/>
      <c r="J190" s="4" t="n">
        <v>1</v>
      </c>
    </row>
    <row r="191" ht="32" customHeight="1">
      <c r="A191" s="3" t="inlineStr">
        <is>
          <t>9. PARCOURS</t>
        </is>
      </c>
      <c r="B191" s="3" t="inlineStr">
        <is>
          <t>9.2 IRL complet</t>
        </is>
      </c>
      <c r="C191" s="4" t="inlineStr">
        <is>
          <t>9.2.5</t>
        </is>
      </c>
      <c r="D191" s="3" t="inlineStr">
        <is>
          <t>Bouton "💶 Valider IRL" → confirm</t>
        </is>
      </c>
      <c r="E191" s="3" t="inlineStr">
        <is>
          <t>DB.irlHistorique a 1 entrée + log.hc mis à jour</t>
        </is>
      </c>
      <c r="F191" s="3" t="inlineStr">
        <is>
          <t>Console + UI</t>
        </is>
      </c>
      <c r="G191" s="3" t="inlineStr">
        <is>
          <t>Pas d'historique</t>
        </is>
      </c>
      <c r="H191" s="4" t="inlineStr"/>
      <c r="I191" s="3" t="inlineStr"/>
      <c r="J191" s="4" t="n">
        <v>2</v>
      </c>
    </row>
    <row r="192" ht="45" customHeight="1">
      <c r="A192" s="3" t="inlineStr">
        <is>
          <t>9. PARCOURS</t>
        </is>
      </c>
      <c r="B192" s="3" t="inlineStr">
        <is>
          <t>9.2 IRL complet</t>
        </is>
      </c>
      <c r="C192" s="4" t="inlineStr">
        <is>
          <t>9.2.6</t>
        </is>
      </c>
      <c r="D192" s="3" t="inlineStr">
        <is>
          <t>Dashboard → vérifier loyer attendu AVANT révision = ancien HC</t>
        </is>
      </c>
      <c r="E192" s="3" t="inlineStr">
        <is>
          <t>Cohérent BUG-DASH-001 fix</t>
        </is>
      </c>
      <c r="F192" s="3" t="inlineStr">
        <is>
          <t>Visuel</t>
        </is>
      </c>
      <c r="G192" s="3" t="inlineStr">
        <is>
          <t>Affiche nouveau HC</t>
        </is>
      </c>
      <c r="H192" s="4" t="inlineStr"/>
      <c r="I192" s="3" t="inlineStr"/>
      <c r="J192" s="4" t="n">
        <v>1</v>
      </c>
    </row>
    <row r="193" ht="32" customHeight="1">
      <c r="A193" s="3" t="inlineStr">
        <is>
          <t>9. PARCOURS</t>
        </is>
      </c>
      <c r="B193" s="3" t="inlineStr">
        <is>
          <t>9.2 IRL complet</t>
        </is>
      </c>
      <c r="C193" s="4" t="inlineStr">
        <is>
          <t>9.2.7</t>
        </is>
      </c>
      <c r="D193" s="3" t="inlineStr">
        <is>
          <t>Test gel DPE F : changer DPE → F → ouvrir IRL → blocage</t>
        </is>
      </c>
      <c r="E193" s="3" t="inlineStr">
        <is>
          <t>"🔒 Loyer GELÉ" (loi Climat 2021)</t>
        </is>
      </c>
      <c r="F193" s="3" t="inlineStr">
        <is>
          <t>Visuel IRL</t>
        </is>
      </c>
      <c r="G193" s="3" t="inlineStr">
        <is>
          <t>Révision proposée → bug légal</t>
        </is>
      </c>
      <c r="H193" s="4" t="inlineStr"/>
      <c r="I193" s="3" t="inlineStr"/>
      <c r="J193" s="4" t="n">
        <v>2</v>
      </c>
    </row>
    <row r="194" ht="32" customHeight="1">
      <c r="A194" s="3" t="inlineStr">
        <is>
          <t>9. PARCOURS</t>
        </is>
      </c>
      <c r="B194" s="3" t="inlineStr">
        <is>
          <t>9.3 EDL complet</t>
        </is>
      </c>
      <c r="C194" s="4" t="inlineStr">
        <is>
          <t>9.3.1</t>
        </is>
      </c>
      <c r="D194" s="3" t="inlineStr">
        <is>
          <t>Nouvel EDL type entrée pour TEST-001</t>
        </is>
      </c>
      <c r="E194" s="3" t="inlineStr">
        <is>
          <t>Modale EDL</t>
        </is>
      </c>
      <c r="F194" s="3" t="inlineStr">
        <is>
          <t>Visuel</t>
        </is>
      </c>
      <c r="G194" s="3" t="inlineStr">
        <is>
          <t>Erreur</t>
        </is>
      </c>
      <c r="H194" s="4" t="inlineStr"/>
      <c r="I194" s="3" t="inlineStr"/>
      <c r="J194" s="4" t="n">
        <v>1</v>
      </c>
    </row>
    <row r="195" ht="32" customHeight="1">
      <c r="A195" s="3" t="inlineStr">
        <is>
          <t>9. PARCOURS</t>
        </is>
      </c>
      <c r="B195" s="3" t="inlineStr">
        <is>
          <t>9.3 EDL complet</t>
        </is>
      </c>
      <c r="C195" s="4" t="inlineStr">
        <is>
          <t>9.3.2</t>
        </is>
      </c>
      <c r="D195" s="3" t="inlineStr">
        <is>
          <t>Ajouter 3 pièces (Salon, Cuisine, Chambre)</t>
        </is>
      </c>
      <c r="E195" s="3" t="inlineStr">
        <is>
          <t>Pièces ajoutées</t>
        </is>
      </c>
      <c r="F195" s="3" t="inlineStr">
        <is>
          <t>Visuel</t>
        </is>
      </c>
      <c r="G195" s="3" t="inlineStr">
        <is>
          <t>Pas d'ajout</t>
        </is>
      </c>
      <c r="H195" s="4" t="inlineStr"/>
      <c r="I195" s="3" t="inlineStr"/>
      <c r="J195" s="4" t="n">
        <v>2</v>
      </c>
    </row>
    <row r="196" ht="32" customHeight="1">
      <c r="A196" s="3" t="inlineStr">
        <is>
          <t>9. PARCOURS</t>
        </is>
      </c>
      <c r="B196" s="3" t="inlineStr">
        <is>
          <t>9.3 EDL complet</t>
        </is>
      </c>
      <c r="C196" s="4" t="inlineStr">
        <is>
          <t>9.3.3</t>
        </is>
      </c>
      <c r="D196" s="3" t="inlineStr">
        <is>
          <t>Ajouter 1 photo par pièce (upload image test)</t>
        </is>
      </c>
      <c r="E196" s="3" t="inlineStr">
        <is>
          <t>Photos en thumb</t>
        </is>
      </c>
      <c r="F196" s="3" t="inlineStr">
        <is>
          <t>Visuel</t>
        </is>
      </c>
      <c r="G196" s="3" t="inlineStr">
        <is>
          <t>Upload échoue</t>
        </is>
      </c>
      <c r="H196" s="4" t="inlineStr"/>
      <c r="I196" s="3" t="inlineStr"/>
      <c r="J196" s="4" t="n">
        <v>3</v>
      </c>
    </row>
    <row r="197" ht="32" customHeight="1">
      <c r="A197" s="3" t="inlineStr">
        <is>
          <t>9. PARCOURS</t>
        </is>
      </c>
      <c r="B197" s="3" t="inlineStr">
        <is>
          <t>9.3 EDL complet</t>
        </is>
      </c>
      <c r="C197" s="4" t="inlineStr">
        <is>
          <t>9.3.4</t>
        </is>
      </c>
      <c r="D197" s="3" t="inlineStr">
        <is>
          <t>Signatures bailleur + locataire</t>
        </is>
      </c>
      <c r="E197" s="3" t="inlineStr">
        <is>
          <t>2 canvas signés</t>
        </is>
      </c>
      <c r="F197" s="3" t="inlineStr">
        <is>
          <t>Visuel</t>
        </is>
      </c>
      <c r="G197" s="3" t="inlineStr">
        <is>
          <t>Canvas vide</t>
        </is>
      </c>
      <c r="H197" s="4" t="inlineStr"/>
      <c r="I197" s="3" t="inlineStr"/>
      <c r="J197" s="4" t="n">
        <v>2</v>
      </c>
    </row>
    <row r="198" ht="32" customHeight="1">
      <c r="A198" s="3" t="inlineStr">
        <is>
          <t>9. PARCOURS</t>
        </is>
      </c>
      <c r="B198" s="3" t="inlineStr">
        <is>
          <t>9.3 EDL complet</t>
        </is>
      </c>
      <c r="C198" s="4" t="inlineStr">
        <is>
          <t>9.3.5</t>
        </is>
      </c>
      <c r="D198" s="3" t="inlineStr">
        <is>
          <t>Save EDL → Console : `DB.auditTrail.slice(-1)[0]`</t>
        </is>
      </c>
      <c r="E198" s="3" t="inlineStr">
        <is>
          <t>`entityType: 'edl'` (audit hook v14.98)</t>
        </is>
      </c>
      <c r="F198" s="3" t="inlineStr">
        <is>
          <t>Console</t>
        </is>
      </c>
      <c r="G198" s="3" t="inlineStr">
        <is>
          <t>Pas d'audit → hook v14.98 cassé</t>
        </is>
      </c>
      <c r="H198" s="4" t="inlineStr"/>
      <c r="I198" s="3" t="inlineStr"/>
      <c r="J198" s="4" t="n">
        <v>1</v>
      </c>
    </row>
    <row r="199" ht="32" customHeight="1">
      <c r="A199" s="3" t="inlineStr">
        <is>
          <t>9. PARCOURS</t>
        </is>
      </c>
      <c r="B199" s="3" t="inlineStr">
        <is>
          <t>9.3 EDL complet</t>
        </is>
      </c>
      <c r="C199" s="4" t="inlineStr">
        <is>
          <t>9.3.6</t>
        </is>
      </c>
      <c r="D199" s="3" t="inlineStr">
        <is>
          <t>Bouton "Générer PDF"</t>
        </is>
      </c>
      <c r="E199" s="3" t="inlineStr">
        <is>
          <t>PDF téléchargé avec 7 colonnes + photos + signatures</t>
        </is>
      </c>
      <c r="F199" s="3" t="inlineStr">
        <is>
          <t>Downloads</t>
        </is>
      </c>
      <c r="G199" s="3" t="inlineStr">
        <is>
          <t>Génération échoue</t>
        </is>
      </c>
      <c r="H199" s="4" t="inlineStr"/>
      <c r="I199" s="3" t="inlineStr"/>
      <c r="J199" s="4" t="n">
        <v>3</v>
      </c>
    </row>
    <row r="200" ht="45" customHeight="1">
      <c r="A200" s="3" t="inlineStr">
        <is>
          <t>9. PARCOURS</t>
        </is>
      </c>
      <c r="B200" s="3" t="inlineStr">
        <is>
          <t>9.3 EDL complet</t>
        </is>
      </c>
      <c r="C200" s="4" t="inlineStr">
        <is>
          <t>9.3.7</t>
        </is>
      </c>
      <c r="D200" s="3" t="inlineStr">
        <is>
          <t>Si Drive connecté : photos uploadées dans `📋 EDL/` du logement</t>
        </is>
      </c>
      <c r="E200" s="3" t="inlineStr">
        <is>
          <t>Visible Drive</t>
        </is>
      </c>
      <c r="F200" s="3" t="inlineStr">
        <is>
          <t>Drive web</t>
        </is>
      </c>
      <c r="G200" s="3" t="inlineStr">
        <is>
          <t>Photos manquent</t>
        </is>
      </c>
      <c r="H200" s="4" t="inlineStr"/>
      <c r="I200" s="3" t="inlineStr"/>
      <c r="J200" s="4" t="n">
        <v>2</v>
      </c>
    </row>
    <row r="201" ht="32" customHeight="1">
      <c r="A201" s="2" t="inlineStr">
        <is>
          <t>10. ERRORS</t>
        </is>
      </c>
    </row>
    <row r="202" ht="32" customHeight="1">
      <c r="A202" s="3" t="inlineStr">
        <is>
          <t>10. ERRORS</t>
        </is>
      </c>
      <c r="B202" s="3" t="inlineStr">
        <is>
          <t>10.1 No errors boot</t>
        </is>
      </c>
      <c r="C202" s="4" t="inlineStr">
        <is>
          <t>10.1.2</t>
        </is>
      </c>
      <c r="D202" s="3" t="inlineStr">
        <is>
          <t>Console → niveau "Errors only"</t>
        </is>
      </c>
      <c r="E202" s="3" t="inlineStr">
        <is>
          <t>Vide</t>
        </is>
      </c>
      <c r="F202" s="3" t="inlineStr">
        <is>
          <t>Console</t>
        </is>
      </c>
      <c r="G202" s="3" t="inlineStr">
        <is>
          <t>Erreurs présentes</t>
        </is>
      </c>
      <c r="H202" s="4" t="inlineStr"/>
      <c r="I202" s="3" t="inlineStr"/>
      <c r="J202" s="4" t="n">
        <v>1</v>
      </c>
    </row>
    <row r="203" ht="32" customHeight="1">
      <c r="A203" s="3" t="inlineStr">
        <is>
          <t>10. ERRORS</t>
        </is>
      </c>
      <c r="B203" s="3" t="inlineStr">
        <is>
          <t>10.1 No errors boot</t>
        </is>
      </c>
      <c r="C203" s="4" t="inlineStr">
        <is>
          <t>10.1.3</t>
        </is>
      </c>
      <c r="D203" s="3" t="inlineStr">
        <is>
          <t>Network → filtre "Failed"</t>
        </is>
      </c>
      <c r="E203" s="3" t="inlineStr">
        <is>
          <t>Aucun fichier en échec</t>
        </is>
      </c>
      <c r="F203" s="3" t="inlineStr">
        <is>
          <t>Network</t>
        </is>
      </c>
      <c r="G203" s="3" t="inlineStr">
        <is>
          <t>404 / 5xx présent</t>
        </is>
      </c>
      <c r="H203" s="4" t="inlineStr"/>
      <c r="I203" s="3" t="inlineStr"/>
      <c r="J203" s="4" t="n">
        <v>1</v>
      </c>
    </row>
    <row r="204" ht="32" customHeight="1">
      <c r="A204" s="2" t="inlineStr">
        <is>
          <t>11. AVANCÉ</t>
        </is>
      </c>
    </row>
    <row r="205" ht="32" customHeight="1">
      <c r="A205" s="3" t="inlineStr">
        <is>
          <t>11. AVANCÉ</t>
        </is>
      </c>
      <c r="B205" s="3" t="inlineStr">
        <is>
          <t>11.2 Performance</t>
        </is>
      </c>
      <c r="C205" s="4" t="inlineStr">
        <is>
          <t>11.2.1</t>
        </is>
      </c>
      <c r="D205" s="3" t="inlineStr">
        <is>
          <t>DevTools Performance → record 5s navigation</t>
        </is>
      </c>
      <c r="E205" s="3" t="inlineStr">
        <is>
          <t>FPS &gt; 30 sur navigation</t>
        </is>
      </c>
      <c r="F205" s="3" t="inlineStr">
        <is>
          <t>Performance tab</t>
        </is>
      </c>
      <c r="G205" s="3" t="inlineStr">
        <is>
          <t>FPS &lt; 30 → bottleneck</t>
        </is>
      </c>
      <c r="H205" s="4" t="inlineStr"/>
      <c r="I205" s="3" t="inlineStr"/>
      <c r="J205" s="4" t="n">
        <v>3</v>
      </c>
    </row>
    <row r="206" ht="32" customHeight="1">
      <c r="A206" s="3" t="inlineStr">
        <is>
          <t>11. AVANCÉ</t>
        </is>
      </c>
      <c r="B206" s="3" t="inlineStr">
        <is>
          <t>11.2 Performance</t>
        </is>
      </c>
      <c r="C206" s="4" t="inlineStr">
        <is>
          <t>11.2.2</t>
        </is>
      </c>
      <c r="D206" s="3" t="inlineStr">
        <is>
          <t>Memory → snapshot</t>
        </is>
      </c>
      <c r="E206" s="3" t="inlineStr">
        <is>
          <t>Heap &lt; 50 MB sur dataset démo</t>
        </is>
      </c>
      <c r="F206" s="3" t="inlineStr">
        <is>
          <t>Memory tab</t>
        </is>
      </c>
      <c r="G206" s="3" t="inlineStr">
        <is>
          <t>&gt; 100 MB → fuite</t>
        </is>
      </c>
      <c r="H206" s="4" t="inlineStr"/>
      <c r="I206" s="3" t="inlineStr"/>
      <c r="J206" s="4" t="n">
        <v>2</v>
      </c>
    </row>
    <row r="207" ht="45" customHeight="1">
      <c r="A207" s="3" t="inlineStr">
        <is>
          <t>11. AVANCÉ</t>
        </is>
      </c>
      <c r="B207" s="3" t="inlineStr">
        <is>
          <t>11.2 Performance</t>
        </is>
      </c>
      <c r="C207" s="4" t="inlineStr">
        <is>
          <t>11.2.3</t>
        </is>
      </c>
      <c r="D207" s="3" t="inlineStr">
        <is>
          <t>Console : `JSON.stringify(localStorage).length / 1024 / 1024`</t>
        </is>
      </c>
      <c r="E207" s="3" t="inlineStr">
        <is>
          <t>&lt; 5 MB</t>
        </is>
      </c>
      <c r="F207" s="3" t="inlineStr">
        <is>
          <t>Console</t>
        </is>
      </c>
      <c r="G207" s="3" t="inlineStr">
        <is>
          <t>&gt; 5 MB → photos passent en localStorage</t>
        </is>
      </c>
      <c r="H207" s="4" t="inlineStr"/>
      <c r="I207" s="3" t="inlineStr"/>
      <c r="J207" s="4" t="n">
        <v>1</v>
      </c>
    </row>
    <row r="208" ht="32" customHeight="1">
      <c r="A208" s="3" t="inlineStr">
        <is>
          <t>11. AVANCÉ</t>
        </is>
      </c>
      <c r="B208" s="3" t="inlineStr">
        <is>
          <t>11.3 Accessibilité</t>
        </is>
      </c>
      <c r="C208" s="4" t="inlineStr">
        <is>
          <t>11.3.1</t>
        </is>
      </c>
      <c r="D208" s="3" t="inlineStr">
        <is>
          <t>DevTools Lighthouse → Accessibility audit</t>
        </is>
      </c>
      <c r="E208" s="3" t="inlineStr">
        <is>
          <t>Score &gt; 80</t>
        </is>
      </c>
      <c r="F208" s="3" t="inlineStr">
        <is>
          <t>Lighthouse report</t>
        </is>
      </c>
      <c r="G208" s="3" t="inlineStr">
        <is>
          <t>Score &lt; 60 → améliorer</t>
        </is>
      </c>
      <c r="H208" s="4" t="inlineStr"/>
      <c r="I208" s="3" t="inlineStr"/>
      <c r="J208" s="4" t="n">
        <v>3</v>
      </c>
    </row>
    <row r="209" ht="32" customHeight="1">
      <c r="A209" s="2" t="inlineStr">
        <is>
          <t>12. BASCULE</t>
        </is>
      </c>
    </row>
    <row r="210" ht="32" customHeight="1">
      <c r="A210" s="3" t="inlineStr">
        <is>
          <t>12. BASCULE</t>
        </is>
      </c>
      <c r="B210" s="3" t="inlineStr">
        <is>
          <t>12.1 Backups</t>
        </is>
      </c>
      <c r="C210" s="4" t="inlineStr">
        <is>
          <t>12.1.2</t>
        </is>
      </c>
      <c r="D210" s="3" t="inlineStr">
        <is>
          <t>Export JSON via Paramètres → sauver localement</t>
        </is>
      </c>
      <c r="E210" s="3" t="inlineStr">
        <is>
          <t>Fichier `ImmoTrack_YYYY-MM-DD.json` téléchargé</t>
        </is>
      </c>
      <c r="F210" s="3" t="inlineStr">
        <is>
          <t>Downloads</t>
        </is>
      </c>
      <c r="G210" s="3" t="inlineStr">
        <is>
          <t>Pas de download</t>
        </is>
      </c>
      <c r="H210" s="4" t="inlineStr"/>
      <c r="I210" s="3" t="inlineStr"/>
      <c r="J210" s="4" t="n">
        <v>1</v>
      </c>
    </row>
    <row r="211" ht="32" customHeight="1">
      <c r="A211" s="3" t="inlineStr">
        <is>
          <t>12. BASCULE</t>
        </is>
      </c>
      <c r="B211" s="3" t="inlineStr">
        <is>
          <t>12.1 Backups</t>
        </is>
      </c>
      <c r="C211" s="4" t="inlineStr">
        <is>
          <t>12.1.3</t>
        </is>
      </c>
      <c r="D211" s="3" t="inlineStr">
        <is>
          <t>`git tag pre-bascule-prod-$(date +%Y%m%d)`</t>
        </is>
      </c>
      <c r="E211" s="3" t="inlineStr">
        <is>
          <t>Tag créé</t>
        </is>
      </c>
      <c r="F211" s="3" t="inlineStr">
        <is>
          <t>git tag</t>
        </is>
      </c>
      <c r="G211" s="3" t="inlineStr">
        <is>
          <t>Erreur</t>
        </is>
      </c>
      <c r="H211" s="4" t="inlineStr"/>
      <c r="I211" s="3" t="inlineStr"/>
      <c r="J211" s="4" t="n">
        <v>1</v>
      </c>
    </row>
    <row r="212" ht="32" customHeight="1">
      <c r="A212" s="3" t="inlineStr">
        <is>
          <t>12. BASCULE</t>
        </is>
      </c>
      <c r="B212" s="3" t="inlineStr">
        <is>
          <t>12.1 Backups</t>
        </is>
      </c>
      <c r="C212" s="4" t="inlineStr">
        <is>
          <t>12.1.4</t>
        </is>
      </c>
      <c r="D212" s="3" t="inlineStr">
        <is>
          <t>Vérifier tag `pre-modular-sprint2` existe</t>
        </is>
      </c>
      <c r="E212" s="3" t="inlineStr">
        <is>
          <t>Rollback ultime dispo</t>
        </is>
      </c>
      <c r="F212" s="3" t="inlineStr">
        <is>
          <t>git tag</t>
        </is>
      </c>
      <c r="G212" s="3" t="inlineStr">
        <is>
          <t>Tag absent</t>
        </is>
      </c>
      <c r="H212" s="4" t="inlineStr"/>
      <c r="I212" s="3" t="inlineStr"/>
      <c r="J212" s="4" t="n">
        <v>1</v>
      </c>
    </row>
    <row r="213" ht="45" customHeight="1">
      <c r="A213" s="3" t="inlineStr">
        <is>
          <t>12. BASCULE</t>
        </is>
      </c>
      <c r="B213" s="3" t="inlineStr">
        <is>
          <t>12.2 Bascule commits</t>
        </is>
      </c>
      <c r="C213" s="4" t="inlineStr">
        <is>
          <t>12.2.1</t>
        </is>
      </c>
      <c r="D213" s="3" t="inlineStr">
        <is>
          <t>Terminal : `git log --oneline pre-modular-sprint2..HEAD --reverse`</t>
        </is>
      </c>
      <c r="E213" s="3" t="inlineStr">
        <is>
          <t>Liste des 19 commits à reproduire</t>
        </is>
      </c>
      <c r="F213" s="3" t="inlineStr">
        <is>
          <t>Sortie git</t>
        </is>
      </c>
      <c r="G213" s="3" t="inlineStr">
        <is>
          <t>Liste vide / incorrecte</t>
        </is>
      </c>
      <c r="H213" s="4" t="inlineStr"/>
      <c r="I213" s="3" t="inlineStr"/>
      <c r="J213" s="4" t="n">
        <v>1</v>
      </c>
    </row>
    <row r="214" ht="45" customHeight="1">
      <c r="A214" s="3" t="inlineStr">
        <is>
          <t>12. BASCULE</t>
        </is>
      </c>
      <c r="B214" s="3" t="inlineStr">
        <is>
          <t>12.2 Bascule commits</t>
        </is>
      </c>
      <c r="C214" s="4" t="inlineStr">
        <is>
          <t>12.2.2</t>
        </is>
      </c>
      <c r="D214" s="3" t="inlineStr">
        <is>
          <t>Pour chaque commit : reproduire diff sur index.html + bump + commit séparé</t>
        </is>
      </c>
      <c r="E214" s="3" t="inlineStr">
        <is>
          <t>1 commit prod / sprint sandbox</t>
        </is>
      </c>
      <c r="F214" s="3" t="inlineStr">
        <is>
          <t>git log</t>
        </is>
      </c>
      <c r="G214" s="3" t="inlineStr">
        <is>
          <t>Commit géant → granularité perdue</t>
        </is>
      </c>
      <c r="H214" s="4" t="inlineStr"/>
      <c r="I214" s="3" t="inlineStr"/>
      <c r="J214" s="4" t="n">
        <v>60</v>
      </c>
    </row>
    <row r="215" ht="32" customHeight="1">
      <c r="A215" s="2" t="inlineStr">
        <is>
          <t>13. PJ UNIFIÉES</t>
        </is>
      </c>
    </row>
    <row r="216" ht="45" customHeight="1">
      <c r="A216" s="3" t="inlineStr">
        <is>
          <t>13. PJ UNIFIÉES</t>
        </is>
      </c>
      <c r="B216" s="3" t="inlineStr">
        <is>
          <t>13.1 Migration auto au boot</t>
        </is>
      </c>
      <c r="C216" s="4" t="inlineStr">
        <is>
          <t>13.1.2</t>
        </is>
      </c>
      <c r="D216" s="3" t="inlineStr">
        <is>
          <t>Console : `DB.mouvements.filter(m =&gt; m.pj &amp;&amp; m.pj.dataB64).length`</t>
        </is>
      </c>
      <c r="E216" s="3" t="inlineStr">
        <is>
          <t>0 (toutes migrées)</t>
        </is>
      </c>
      <c r="F216" s="3" t="inlineStr">
        <is>
          <t>Console</t>
        </is>
      </c>
      <c r="G216" s="3" t="inlineStr">
        <is>
          <t>&gt; 0 → migration incomplète</t>
        </is>
      </c>
      <c r="H216" s="4" t="inlineStr"/>
      <c r="I216" s="3" t="inlineStr"/>
      <c r="J216" s="4" t="n">
        <v>1</v>
      </c>
    </row>
    <row r="217" ht="45" customHeight="1">
      <c r="A217" s="3" t="inlineStr">
        <is>
          <t>13. PJ UNIFIÉES</t>
        </is>
      </c>
      <c r="B217" s="3" t="inlineStr">
        <is>
          <t>13.1 Migration auto au boot</t>
        </is>
      </c>
      <c r="C217" s="4" t="inlineStr">
        <is>
          <t>13.1.3</t>
        </is>
      </c>
      <c r="D217" s="3" t="inlineStr">
        <is>
          <t>Console : `DB.documents.filter(d =&gt; d.parentType==='mouvement').length`</t>
        </is>
      </c>
      <c r="E217" s="3" t="inlineStr">
        <is>
          <t>≥ N (au moins N PJ migrées dans DB.documents)</t>
        </is>
      </c>
      <c r="F217" s="3" t="inlineStr">
        <is>
          <t>Console</t>
        </is>
      </c>
      <c r="G217" s="3" t="inlineStr">
        <is>
          <t>0 → migration n'a pas créé d'entrée</t>
        </is>
      </c>
      <c r="H217" s="4" t="inlineStr"/>
      <c r="I217" s="3" t="inlineStr"/>
      <c r="J217" s="4" t="n">
        <v>1</v>
      </c>
    </row>
    <row r="218" ht="45" customHeight="1">
      <c r="A218" s="3" t="inlineStr">
        <is>
          <t>13. PJ UNIFIÉES</t>
        </is>
      </c>
      <c r="B218" s="3" t="inlineStr">
        <is>
          <t>13.1 Migration auto au boot</t>
        </is>
      </c>
      <c r="C218" s="4" t="inlineStr">
        <is>
          <t>13.1.4</t>
        </is>
      </c>
      <c r="D218" s="3" t="inlineStr">
        <is>
          <t>Console : `DB.documents.filter(d =&gt; d._discoveredFromDrive).length`</t>
        </is>
      </c>
      <c r="E218" s="3" t="inlineStr">
        <is>
          <t>Nombre de fichiers découverts par Drive scan (peut être 0)</t>
        </is>
      </c>
      <c r="F218" s="3" t="inlineStr">
        <is>
          <t>Console</t>
        </is>
      </c>
      <c r="G218" s="3" t="inlineStr">
        <is>
          <t>—</t>
        </is>
      </c>
      <c r="H218" s="4" t="inlineStr"/>
      <c r="I218" s="3" t="inlineStr"/>
      <c r="J218" s="4" t="n">
        <v>1</v>
      </c>
    </row>
    <row r="219" ht="32" customHeight="1">
      <c r="A219" s="3" t="inlineStr">
        <is>
          <t>13. PJ UNIFIÉES</t>
        </is>
      </c>
      <c r="B219" s="3" t="inlineStr">
        <is>
          <t>13.1 Migration auto au boot</t>
        </is>
      </c>
      <c r="C219" s="4" t="inlineStr">
        <is>
          <t>13.1.5</t>
        </is>
      </c>
      <c r="D219" s="3" t="inlineStr">
        <is>
          <t>Réouvrir un mouvement avec PJ migrée → modale édition</t>
        </is>
      </c>
      <c r="E219" s="3" t="inlineStr">
        <is>
          <t>Champ PJ affiche le nom du document (binaire chargé lazy depuis IDB)</t>
        </is>
      </c>
      <c r="F219" s="3" t="inlineStr">
        <is>
          <t>Visuel modale + console (IDB get)</t>
        </is>
      </c>
      <c r="G219" s="3" t="inlineStr">
        <is>
          <t>Affiche 'binaire introuvable' → idbKey perdu</t>
        </is>
      </c>
      <c r="H219" s="4" t="inlineStr"/>
      <c r="I219" s="3" t="inlineStr"/>
      <c r="J219" s="4" t="n">
        <v>2</v>
      </c>
    </row>
    <row r="220" ht="32" customHeight="1">
      <c r="A220" s="3" t="inlineStr">
        <is>
          <t>13. PJ UNIFIÉES</t>
        </is>
      </c>
      <c r="B220" s="3" t="inlineStr">
        <is>
          <t>13.2 Upload PJ mouvement</t>
        </is>
      </c>
      <c r="C220" s="4" t="inlineStr">
        <is>
          <t>13.2.1</t>
        </is>
      </c>
      <c r="D220" s="3" t="inlineStr">
        <is>
          <t>Ouvrir un mouvement existant → ajouter PJ 1 MB image</t>
        </is>
      </c>
      <c r="E220" s="3" t="inlineStr">
        <is>
          <t>Toast 'Mouvement enregistré' OK, pas de 'Stockage plein'</t>
        </is>
      </c>
      <c r="F220" s="3" t="inlineStr">
        <is>
          <t>Toast</t>
        </is>
      </c>
      <c r="G220" s="3" t="inlineStr">
        <is>
          <t>Toast 'Stockage plein' → bug régression Sprint 1</t>
        </is>
      </c>
      <c r="H220" s="4" t="inlineStr"/>
      <c r="I220" s="3" t="inlineStr"/>
      <c r="J220" s="4" t="n">
        <v>2</v>
      </c>
    </row>
    <row r="221" ht="32" customHeight="1">
      <c r="A221" s="3" t="inlineStr">
        <is>
          <t>13. PJ UNIFIÉES</t>
        </is>
      </c>
      <c r="B221" s="3" t="inlineStr">
        <is>
          <t>13.2 Upload PJ mouvement</t>
        </is>
      </c>
      <c r="C221" s="4" t="inlineStr">
        <is>
          <t>13.2.2</t>
        </is>
      </c>
      <c r="D221" s="3" t="inlineStr">
        <is>
          <t>Console : `DB.mouvements.find(...).pjId`</t>
        </is>
      </c>
      <c r="E221" s="3" t="inlineStr">
        <is>
          <t>Number (id du DB.documents associé)</t>
        </is>
      </c>
      <c r="F221" s="3" t="inlineStr">
        <is>
          <t>Console</t>
        </is>
      </c>
      <c r="G221" s="3" t="inlineStr">
        <is>
          <t>undefined → m.pjId pas écrit dans saveMv</t>
        </is>
      </c>
      <c r="H221" s="4" t="inlineStr"/>
      <c r="I221" s="3" t="inlineStr"/>
      <c r="J221" s="4" t="n">
        <v>1</v>
      </c>
    </row>
    <row r="222" ht="32" customHeight="1">
      <c r="A222" s="3" t="inlineStr">
        <is>
          <t>13. PJ UNIFIÉES</t>
        </is>
      </c>
      <c r="B222" s="3" t="inlineStr">
        <is>
          <t>13.2 Upload PJ mouvement</t>
        </is>
      </c>
      <c r="C222" s="4" t="inlineStr">
        <is>
          <t>13.2.3</t>
        </is>
      </c>
      <c r="D222" s="3" t="inlineStr">
        <is>
          <t>Console : `DB.documents.find(d =&gt; d.id === ...).idbKey`</t>
        </is>
      </c>
      <c r="E222" s="3" t="inlineStr">
        <is>
          <t>String 'ph_xxxxx' (clé IndexedDB)</t>
        </is>
      </c>
      <c r="F222" s="3" t="inlineStr">
        <is>
          <t>Console</t>
        </is>
      </c>
      <c r="G222" s="3" t="inlineStr">
        <is>
          <t>null → IDB pas écrit</t>
        </is>
      </c>
      <c r="H222" s="4" t="inlineStr"/>
      <c r="I222" s="3" t="inlineStr"/>
      <c r="J222" s="4" t="n">
        <v>1</v>
      </c>
    </row>
    <row r="223" ht="32" customHeight="1">
      <c r="A223" s="3" t="inlineStr">
        <is>
          <t>13. PJ UNIFIÉES</t>
        </is>
      </c>
      <c r="B223" s="3" t="inlineStr">
        <is>
          <t>13.2 Upload PJ mouvement</t>
        </is>
      </c>
      <c r="C223" s="4" t="inlineStr">
        <is>
          <t>13.2.4</t>
        </is>
      </c>
      <c r="D223" s="3" t="inlineStr">
        <is>
          <t>Ajouter PJ 8 MB image</t>
        </is>
      </c>
      <c r="E223" s="3" t="inlineStr">
        <is>
          <t>Accept (limite 10 MB v14.99 vs 2 MB legacy)</t>
        </is>
      </c>
      <c r="F223" s="3" t="inlineStr">
        <is>
          <t>Toast</t>
        </is>
      </c>
      <c r="G223" s="3" t="inlineStr">
        <is>
          <t>Refus &lt; 10 MB → limite pas mise à jour</t>
        </is>
      </c>
      <c r="H223" s="4" t="inlineStr"/>
      <c r="I223" s="3" t="inlineStr"/>
      <c r="J223" s="4" t="n">
        <v>1</v>
      </c>
    </row>
    <row r="224" ht="32" customHeight="1">
      <c r="A224" s="3" t="inlineStr">
        <is>
          <t>13. PJ UNIFIÉES</t>
        </is>
      </c>
      <c r="B224" s="3" t="inlineStr">
        <is>
          <t>13.2 Upload PJ mouvement</t>
        </is>
      </c>
      <c r="C224" s="4" t="inlineStr">
        <is>
          <t>13.2.5</t>
        </is>
      </c>
      <c r="D224" s="3" t="inlineStr">
        <is>
          <t>Ajouter PJ 11 MB</t>
        </is>
      </c>
      <c r="E224" s="3" t="inlineStr">
        <is>
          <t>Refus avec toast 'trop lourd'</t>
        </is>
      </c>
      <c r="F224" s="3" t="inlineStr">
        <is>
          <t>Toast</t>
        </is>
      </c>
      <c r="G224" s="3" t="inlineStr">
        <is>
          <t>Accepté &gt; 10 MB → validation cassée</t>
        </is>
      </c>
      <c r="H224" s="4" t="inlineStr"/>
      <c r="I224" s="3" t="inlineStr"/>
      <c r="J224" s="4" t="n">
        <v>1</v>
      </c>
    </row>
    <row r="225" ht="32" customHeight="1">
      <c r="A225" s="3" t="inlineStr">
        <is>
          <t>13. PJ UNIFIÉES</t>
        </is>
      </c>
      <c r="B225" s="3" t="inlineStr">
        <is>
          <t>13.2 Upload PJ mouvement</t>
        </is>
      </c>
      <c r="C225" s="4" t="inlineStr">
        <is>
          <t>13.2.6</t>
        </is>
      </c>
      <c r="D225" s="3" t="inlineStr">
        <is>
          <t>Remplacer une PJ existante par une autre</t>
        </is>
      </c>
      <c r="E225" s="3" t="inlineStr">
        <is>
          <t>Ancien attachement tombstone, IDB nettoyé, nouveau créé</t>
        </is>
      </c>
      <c r="F225" s="3" t="inlineStr">
        <is>
          <t>Console (DB.documents, IDB)</t>
        </is>
      </c>
      <c r="G225" s="3" t="inlineStr">
        <is>
          <t>Ancien toujours actif → fuite</t>
        </is>
      </c>
      <c r="H225" s="4" t="inlineStr"/>
      <c r="I225" s="3" t="inlineStr"/>
      <c r="J225" s="4" t="n">
        <v>2</v>
      </c>
    </row>
    <row r="226" ht="32" customHeight="1">
      <c r="A226" s="3" t="inlineStr">
        <is>
          <t>13. PJ UNIFIÉES</t>
        </is>
      </c>
      <c r="B226" s="3" t="inlineStr">
        <is>
          <t>13.2 Upload PJ mouvement</t>
        </is>
      </c>
      <c r="C226" s="4" t="inlineStr">
        <is>
          <t>13.2.7</t>
        </is>
      </c>
      <c r="D226" s="3" t="inlineStr">
        <is>
          <t>Avec Drive connecté : ajouter PJ sur mvt logement</t>
        </is>
      </c>
      <c r="E226" s="3" t="inlineStr">
        <is>
          <t>Toast OK + background upload Drive → log '[attachment Drive] uploadé' dans console</t>
        </is>
      </c>
      <c r="F226" s="3" t="inlineStr">
        <is>
          <t>Console + Drive web</t>
        </is>
      </c>
      <c r="G226" s="3" t="inlineStr">
        <is>
          <t>Pas d'upload Drive après 5s → background cassé</t>
        </is>
      </c>
      <c r="H226" s="4" t="inlineStr"/>
      <c r="I226" s="3" t="inlineStr"/>
      <c r="J226" s="4" t="n">
        <v>3</v>
      </c>
    </row>
    <row r="227" ht="45" customHeight="1">
      <c r="A227" s="3" t="inlineStr">
        <is>
          <t>13. PJ UNIFIÉES</t>
        </is>
      </c>
      <c r="B227" s="3" t="inlineStr">
        <is>
          <t>13.2 Upload PJ mouvement</t>
        </is>
      </c>
      <c r="C227" s="4" t="inlineStr">
        <is>
          <t>13.2.8</t>
        </is>
      </c>
      <c r="D227" s="3" t="inlineStr">
        <is>
          <t>Drive web : vérifier fichier dans ImmoTrack/&lt;ent&gt;/&lt;imm&gt;/&lt;log&gt;/📄 Documents/</t>
        </is>
      </c>
      <c r="E227" s="3" t="inlineStr">
        <is>
          <t>Fichier nommé `documents_YYYY-MM-DD_nom.pdf`</t>
        </is>
      </c>
      <c r="F227" s="3" t="inlineStr">
        <is>
          <t>Drive web</t>
        </is>
      </c>
      <c r="G227" s="3" t="inlineStr">
        <is>
          <t>Fichier absent → upload background échoué</t>
        </is>
      </c>
      <c r="H227" s="4" t="inlineStr"/>
      <c r="I227" s="3" t="inlineStr"/>
      <c r="J227" s="4" t="n">
        <v>2</v>
      </c>
    </row>
    <row r="228" ht="32" customHeight="1">
      <c r="A228" s="3" t="inlineStr">
        <is>
          <t>13. PJ UNIFIÉES</t>
        </is>
      </c>
      <c r="B228" s="3" t="inlineStr">
        <is>
          <t>13.3 Sous-onglet Documents</t>
        </is>
      </c>
      <c r="C228" s="4" t="inlineStr">
        <is>
          <t>13.3.1</t>
        </is>
      </c>
      <c r="D228" s="3" t="inlineStr">
        <is>
          <t>Ouvrir fiche logement → sous-onglet 📁 Documents</t>
        </is>
      </c>
      <c r="E228" s="3" t="inlineStr">
        <is>
          <t>Section '📎 Documents libres' visible en bas</t>
        </is>
      </c>
      <c r="F228" s="3" t="inlineStr">
        <is>
          <t>Visuel</t>
        </is>
      </c>
      <c r="G228" s="3" t="inlineStr">
        <is>
          <t>Section absente → _renderAttachmentSection cassé</t>
        </is>
      </c>
      <c r="H228" s="4" t="inlineStr"/>
      <c r="I228" s="3" t="inlineStr"/>
      <c r="J228" s="4" t="n">
        <v>1</v>
      </c>
    </row>
    <row r="229" ht="32" customHeight="1">
      <c r="A229" s="3" t="inlineStr">
        <is>
          <t>13. PJ UNIFIÉES</t>
        </is>
      </c>
      <c r="B229" s="3" t="inlineStr">
        <is>
          <t>13.3 Sous-onglet Documents</t>
        </is>
      </c>
      <c r="C229" s="4" t="inlineStr">
        <is>
          <t>13.3.2</t>
        </is>
      </c>
      <c r="D229" s="3" t="inlineStr">
        <is>
          <t>Cliquer '+ Ajouter' → uploader un PDF DPE</t>
        </is>
      </c>
      <c r="E229" s="3" t="inlineStr">
        <is>
          <t>Toast '📎 PJ ajoutée : XXX.pdf' + apparaît dans la liste</t>
        </is>
      </c>
      <c r="F229" s="3" t="inlineStr">
        <is>
          <t>Visuel + toast</t>
        </is>
      </c>
      <c r="G229" s="3" t="inlineStr">
        <is>
          <t>Erreur upload</t>
        </is>
      </c>
      <c r="H229" s="4" t="inlineStr"/>
      <c r="I229" s="3" t="inlineStr"/>
      <c r="J229" s="4" t="n">
        <v>2</v>
      </c>
    </row>
    <row r="230" ht="45" customHeight="1">
      <c r="A230" s="3" t="inlineStr">
        <is>
          <t>13. PJ UNIFIÉES</t>
        </is>
      </c>
      <c r="B230" s="3" t="inlineStr">
        <is>
          <t>13.3 Sous-onglet Documents</t>
        </is>
      </c>
      <c r="C230" s="4" t="inlineStr">
        <is>
          <t>13.3.3</t>
        </is>
      </c>
      <c r="D230" s="3" t="inlineStr">
        <is>
          <t>Vérifier listing : icône 📄 + nom + taille + date + indicateurs ☁️💾</t>
        </is>
      </c>
      <c r="E230" s="3" t="inlineStr">
        <is>
          <t>Tous les éléments présents</t>
        </is>
      </c>
      <c r="F230" s="3" t="inlineStr">
        <is>
          <t>Visuel</t>
        </is>
      </c>
      <c r="G230" s="3" t="inlineStr">
        <is>
          <t>Indicateurs absents</t>
        </is>
      </c>
      <c r="H230" s="4" t="inlineStr"/>
      <c r="I230" s="3" t="inlineStr"/>
      <c r="J230" s="4" t="n">
        <v>1</v>
      </c>
    </row>
    <row r="231" ht="32" customHeight="1">
      <c r="A231" s="3" t="inlineStr">
        <is>
          <t>13. PJ UNIFIÉES</t>
        </is>
      </c>
      <c r="B231" s="3" t="inlineStr">
        <is>
          <t>13.3 Sous-onglet Documents</t>
        </is>
      </c>
      <c r="C231" s="4" t="inlineStr">
        <is>
          <t>13.3.4</t>
        </is>
      </c>
      <c r="D231" s="3" t="inlineStr">
        <is>
          <t>Cliquer 👁 Aperçu sur le DPE PDF</t>
        </is>
      </c>
      <c r="E231" s="3" t="inlineStr">
        <is>
          <t>Nouvel onglet popup avec PDF lisible (iframe)</t>
        </is>
      </c>
      <c r="F231" s="3" t="inlineStr">
        <is>
          <t>Popup + visuel</t>
        </is>
      </c>
      <c r="G231" s="3" t="inlineStr">
        <is>
          <t>Pas de popup OU PDF blanc</t>
        </is>
      </c>
      <c r="H231" s="4" t="inlineStr"/>
      <c r="I231" s="3" t="inlineStr"/>
      <c r="J231" s="4" t="n">
        <v>2</v>
      </c>
    </row>
    <row r="232" ht="32" customHeight="1">
      <c r="A232" s="3" t="inlineStr">
        <is>
          <t>13. PJ UNIFIÉES</t>
        </is>
      </c>
      <c r="B232" s="3" t="inlineStr">
        <is>
          <t>13.3 Sous-onglet Documents</t>
        </is>
      </c>
      <c r="C232" s="4" t="inlineStr">
        <is>
          <t>13.3.5</t>
        </is>
      </c>
      <c r="D232" s="3" t="inlineStr">
        <is>
          <t>Cliquer 🗑 sur un document</t>
        </is>
      </c>
      <c r="E232" s="3" t="inlineStr">
        <is>
          <t>Confirm dialog + suppression réussie (tombstone DB + IDB del + Drive trash)</t>
        </is>
      </c>
      <c r="F232" s="3" t="inlineStr">
        <is>
          <t>Confirm + visuel + console</t>
        </is>
      </c>
      <c r="G232" s="3" t="inlineStr">
        <is>
          <t>Confirm absent OU document toujours visible après</t>
        </is>
      </c>
      <c r="H232" s="4" t="inlineStr"/>
      <c r="I232" s="3" t="inlineStr"/>
      <c r="J232" s="4" t="n">
        <v>2</v>
      </c>
    </row>
    <row r="233" ht="32" customHeight="1">
      <c r="A233" s="3" t="inlineStr">
        <is>
          <t>13. PJ UNIFIÉES</t>
        </is>
      </c>
      <c r="B233" s="3" t="inlineStr">
        <is>
          <t>13.4 Sous-onglet Photos (galerie)</t>
        </is>
      </c>
      <c r="C233" s="4" t="inlineStr">
        <is>
          <t>13.4.1</t>
        </is>
      </c>
      <c r="D233" s="3" t="inlineStr">
        <is>
          <t>Ouvrir fiche logement → sous-onglet 📷 Photos</t>
        </is>
      </c>
      <c r="E233" s="3" t="inlineStr">
        <is>
          <t>Affichage 'Aucune photo' si vide, sinon grid thumbnails</t>
        </is>
      </c>
      <c r="F233" s="3" t="inlineStr">
        <is>
          <t>Visuel</t>
        </is>
      </c>
      <c r="G233" s="3" t="inlineStr">
        <is>
          <t>Page blanche / erreur JS</t>
        </is>
      </c>
      <c r="H233" s="4" t="inlineStr"/>
      <c r="I233" s="3" t="inlineStr"/>
      <c r="J233" s="4" t="n">
        <v>1</v>
      </c>
    </row>
    <row r="234" ht="32" customHeight="1">
      <c r="A234" s="3" t="inlineStr">
        <is>
          <t>13. PJ UNIFIÉES</t>
        </is>
      </c>
      <c r="B234" s="3" t="inlineStr">
        <is>
          <t>13.4 Sous-onglet Photos (galerie)</t>
        </is>
      </c>
      <c r="C234" s="4" t="inlineStr">
        <is>
          <t>13.4.2</t>
        </is>
      </c>
      <c r="D234" s="3" t="inlineStr">
        <is>
          <t>Cliquer '+ Ajouter photos' → uploader 3 photos JPG</t>
        </is>
      </c>
      <c r="E234" s="3" t="inlineStr">
        <is>
          <t>Toast '📷 3 photo(s) ajoutée(s)' + grid se peuple</t>
        </is>
      </c>
      <c r="F234" s="3" t="inlineStr">
        <is>
          <t>Toast + visuel</t>
        </is>
      </c>
      <c r="G234" s="3" t="inlineStr">
        <is>
          <t>Pas de toast OU grid vide</t>
        </is>
      </c>
      <c r="H234" s="4" t="inlineStr"/>
      <c r="I234" s="3" t="inlineStr"/>
      <c r="J234" s="4" t="n">
        <v>3</v>
      </c>
    </row>
    <row r="235" ht="45" customHeight="1">
      <c r="A235" s="3" t="inlineStr">
        <is>
          <t>13. PJ UNIFIÉES</t>
        </is>
      </c>
      <c r="B235" s="3" t="inlineStr">
        <is>
          <t>13.4 Sous-onglet Photos (galerie)</t>
        </is>
      </c>
      <c r="C235" s="4" t="inlineStr">
        <is>
          <t>13.4.3</t>
        </is>
      </c>
      <c r="D235" s="3" t="inlineStr">
        <is>
          <t>Vérifier grid responsive : `repeat(auto-fill, minmax(180px, 1fr))`</t>
        </is>
      </c>
      <c r="E235" s="3" t="inlineStr">
        <is>
          <t>3 photos en 3 col PC, 2 col tablette, 1 col mobile</t>
        </is>
      </c>
      <c r="F235" s="3" t="inlineStr">
        <is>
          <t>Visuel responsive DevTools</t>
        </is>
      </c>
      <c r="G235" s="3" t="inlineStr">
        <is>
          <t>Mauvais layout / pas responsive</t>
        </is>
      </c>
      <c r="H235" s="4" t="inlineStr"/>
      <c r="I235" s="3" t="inlineStr"/>
      <c r="J235" s="4" t="n">
        <v>2</v>
      </c>
    </row>
    <row r="236" ht="32" customHeight="1">
      <c r="A236" s="3" t="inlineStr">
        <is>
          <t>13. PJ UNIFIÉES</t>
        </is>
      </c>
      <c r="B236" s="3" t="inlineStr">
        <is>
          <t>13.4 Sous-onglet Photos (galerie)</t>
        </is>
      </c>
      <c r="C236" s="4" t="inlineStr">
        <is>
          <t>13.4.4</t>
        </is>
      </c>
      <c r="D236" s="3" t="inlineStr">
        <is>
          <t>Vérifier que les thumbnails se chargent depuis IDB (lazy)</t>
        </is>
      </c>
      <c r="E236" s="3" t="inlineStr">
        <is>
          <t>Apparition progressive des images après le render</t>
        </is>
      </c>
      <c r="F236" s="3" t="inlineStr">
        <is>
          <t>Visuel + console (IDB get)</t>
        </is>
      </c>
      <c r="G236" s="3" t="inlineStr">
        <is>
          <t>Images cassées / placeholder</t>
        </is>
      </c>
      <c r="H236" s="4" t="inlineStr"/>
      <c r="I236" s="3" t="inlineStr"/>
      <c r="J236" s="4" t="n">
        <v>1</v>
      </c>
    </row>
    <row r="237" ht="32" customHeight="1">
      <c r="A237" s="3" t="inlineStr">
        <is>
          <t>13. PJ UNIFIÉES</t>
        </is>
      </c>
      <c r="B237" s="3" t="inlineStr">
        <is>
          <t>13.4 Sous-onglet Photos (galerie)</t>
        </is>
      </c>
      <c r="C237" s="4" t="inlineStr">
        <is>
          <t>13.4.5</t>
        </is>
      </c>
      <c r="D237" s="3" t="inlineStr">
        <is>
          <t>Cliquer une photo → lightbox plein écran</t>
        </is>
      </c>
      <c r="E237" s="3" t="inlineStr">
        <is>
          <t>Modale 92% opacité, image centrée, header avec nom/taille/index</t>
        </is>
      </c>
      <c r="F237" s="3" t="inlineStr">
        <is>
          <t>Visuel</t>
        </is>
      </c>
      <c r="G237" s="3" t="inlineStr">
        <is>
          <t>Pas de lightbox</t>
        </is>
      </c>
      <c r="H237" s="4" t="inlineStr"/>
      <c r="I237" s="3" t="inlineStr"/>
      <c r="J237" s="4" t="n">
        <v>1</v>
      </c>
    </row>
    <row r="238" ht="32" customHeight="1">
      <c r="A238" s="3" t="inlineStr">
        <is>
          <t>13. PJ UNIFIÉES</t>
        </is>
      </c>
      <c r="B238" s="3" t="inlineStr">
        <is>
          <t>13.4 Sous-onglet Photos (galerie)</t>
        </is>
      </c>
      <c r="C238" s="4" t="inlineStr">
        <is>
          <t>13.4.6</t>
        </is>
      </c>
      <c r="D238" s="3" t="inlineStr">
        <is>
          <t>Lightbox : appuyer ArrowRight + ArrowLeft + Escape</t>
        </is>
      </c>
      <c r="E238" s="3" t="inlineStr">
        <is>
          <t>Navigation prev/next + close OK</t>
        </is>
      </c>
      <c r="F238" s="3" t="inlineStr">
        <is>
          <t>Visuel + keyboard</t>
        </is>
      </c>
      <c r="G238" s="3" t="inlineStr">
        <is>
          <t>Touches inopérantes</t>
        </is>
      </c>
      <c r="H238" s="4" t="inlineStr"/>
      <c r="I238" s="3" t="inlineStr"/>
      <c r="J238" s="4" t="n">
        <v>1</v>
      </c>
    </row>
    <row r="239" ht="32" customHeight="1">
      <c r="A239" s="3" t="inlineStr">
        <is>
          <t>13. PJ UNIFIÉES</t>
        </is>
      </c>
      <c r="B239" s="3" t="inlineStr">
        <is>
          <t>13.4 Sous-onglet Photos (galerie)</t>
        </is>
      </c>
      <c r="C239" s="4" t="inlineStr">
        <is>
          <t>13.4.7</t>
        </is>
      </c>
      <c r="D239" s="3" t="inlineStr">
        <is>
          <t>Cliquer ☆ sur une photo (toggle cover)</t>
        </is>
      </c>
      <c r="E239" s="3" t="inlineStr">
        <is>
          <t>Badge ⭐ Couverture apparaît + bordure colorée</t>
        </is>
      </c>
      <c r="F239" s="3" t="inlineStr">
        <is>
          <t>Visuel</t>
        </is>
      </c>
      <c r="G239" s="3" t="inlineStr">
        <is>
          <t>Pas de feedback visuel</t>
        </is>
      </c>
      <c r="H239" s="4" t="inlineStr"/>
      <c r="I239" s="3" t="inlineStr"/>
      <c r="J239" s="4" t="n">
        <v>1</v>
      </c>
    </row>
    <row r="240" ht="32" customHeight="1">
      <c r="A240" s="3" t="inlineStr">
        <is>
          <t>13. PJ UNIFIÉES</t>
        </is>
      </c>
      <c r="B240" s="3" t="inlineStr">
        <is>
          <t>13.4 Sous-onglet Photos (galerie)</t>
        </is>
      </c>
      <c r="C240" s="4" t="inlineStr">
        <is>
          <t>13.4.8</t>
        </is>
      </c>
      <c r="D240" s="3" t="inlineStr">
        <is>
          <t>Cliquer ⭐ sur la même photo (toggle off)</t>
        </is>
      </c>
      <c r="E240" s="3" t="inlineStr">
        <is>
          <t>Badge ⭐ disparaît</t>
        </is>
      </c>
      <c r="F240" s="3" t="inlineStr">
        <is>
          <t>Visuel</t>
        </is>
      </c>
      <c r="G240" s="3" t="inlineStr">
        <is>
          <t>Cover ne se retire pas</t>
        </is>
      </c>
      <c r="H240" s="4" t="inlineStr"/>
      <c r="I240" s="3" t="inlineStr"/>
      <c r="J240" s="4" t="n">
        <v>1</v>
      </c>
    </row>
    <row r="241" ht="32" customHeight="1">
      <c r="A241" s="3" t="inlineStr">
        <is>
          <t>13. PJ UNIFIÉES</t>
        </is>
      </c>
      <c r="B241" s="3" t="inlineStr">
        <is>
          <t>13.4 Sous-onglet Photos (galerie)</t>
        </is>
      </c>
      <c r="C241" s="4" t="inlineStr">
        <is>
          <t>13.4.9</t>
        </is>
      </c>
      <c r="D241" s="3" t="inlineStr">
        <is>
          <t>Cliquer ⭐ sur photo A, puis sur photo B</t>
        </is>
      </c>
      <c r="E241" s="3" t="inlineStr">
        <is>
          <t>Photo B devient cover, A perd son badge (1 seule cover par logement)</t>
        </is>
      </c>
      <c r="F241" s="3" t="inlineStr">
        <is>
          <t>Visuel</t>
        </is>
      </c>
      <c r="G241" s="3" t="inlineStr">
        <is>
          <t>2 covers en même temps → bug</t>
        </is>
      </c>
      <c r="H241" s="4" t="inlineStr"/>
      <c r="I241" s="3" t="inlineStr"/>
      <c r="J241" s="4" t="n">
        <v>2</v>
      </c>
    </row>
    <row r="242" ht="45" customHeight="1">
      <c r="A242" s="3" t="inlineStr">
        <is>
          <t>13. PJ UNIFIÉES</t>
        </is>
      </c>
      <c r="B242" s="3" t="inlineStr">
        <is>
          <t>13.4 Sous-onglet Photos (galerie)</t>
        </is>
      </c>
      <c r="C242" s="4" t="inlineStr">
        <is>
          <t>13.4.10</t>
        </is>
      </c>
      <c r="D242" s="3" t="inlineStr">
        <is>
          <t>Console : `DB.documents.filter(d =&gt; d.parentType==='logement' &amp;&amp; d.category==='photos' &amp;&amp; d.isCover).length`</t>
        </is>
      </c>
      <c r="E242" s="3" t="inlineStr">
        <is>
          <t>0 ou 1 (pas plus d'une cover)</t>
        </is>
      </c>
      <c r="F242" s="3" t="inlineStr">
        <is>
          <t>Console</t>
        </is>
      </c>
      <c r="G242" s="3" t="inlineStr">
        <is>
          <t>&gt; 1 → bug exclusivité</t>
        </is>
      </c>
      <c r="H242" s="4" t="inlineStr"/>
      <c r="I242" s="3" t="inlineStr"/>
      <c r="J242" s="4" t="n">
        <v>1</v>
      </c>
    </row>
    <row r="243" ht="45" customHeight="1">
      <c r="A243" s="3" t="inlineStr">
        <is>
          <t>13. PJ UNIFIÉES</t>
        </is>
      </c>
      <c r="B243" s="3" t="inlineStr">
        <is>
          <t>13.5 Drive lazy scan</t>
        </is>
      </c>
      <c r="C243" s="4" t="inlineStr">
        <is>
          <t>13.5.1</t>
        </is>
      </c>
      <c r="D243" s="3" t="inlineStr">
        <is>
          <t>Connecter Drive + déposer manuellement un fichier dans ImmoTrack/&lt;ent&gt;/&lt;imm&gt;/&lt;log&gt;/📄 Documents/ via Drive web</t>
        </is>
      </c>
      <c r="E243" s="3" t="inlineStr">
        <is>
          <t>Fichier créé sur Drive</t>
        </is>
      </c>
      <c r="F243" s="3" t="inlineStr">
        <is>
          <t>Drive web</t>
        </is>
      </c>
      <c r="G243" s="3" t="inlineStr">
        <is>
          <t>Pas d'accès écriture Drive</t>
        </is>
      </c>
      <c r="H243" s="4" t="inlineStr"/>
      <c r="I243" s="3" t="inlineStr"/>
      <c r="J243" s="4" t="n">
        <v>3</v>
      </c>
    </row>
    <row r="244" ht="45" customHeight="1">
      <c r="A244" s="3" t="inlineStr">
        <is>
          <t>13. PJ UNIFIÉES</t>
        </is>
      </c>
      <c r="B244" s="3" t="inlineStr">
        <is>
          <t>13.5 Drive lazy scan</t>
        </is>
      </c>
      <c r="C244" s="4" t="inlineStr">
        <is>
          <t>13.5.2</t>
        </is>
      </c>
      <c r="D244" s="3" t="inlineStr">
        <is>
          <t>Sur l'app : aller sur fiche logement → ouvrir sous-onglet Documents</t>
        </is>
      </c>
      <c r="E244" s="3" t="inlineStr">
        <is>
          <t>Après 200ms : toast '📥 1 fichier(s) Drive détecté(s)'</t>
        </is>
      </c>
      <c r="F244" s="3" t="inlineStr">
        <is>
          <t>Toast</t>
        </is>
      </c>
      <c r="G244" s="3" t="inlineStr">
        <is>
          <t>Pas de toast → scan ne s'est pas déclenché</t>
        </is>
      </c>
      <c r="H244" s="4" t="inlineStr"/>
      <c r="I244" s="3" t="inlineStr"/>
      <c r="J244" s="4" t="n">
        <v>3</v>
      </c>
    </row>
    <row r="245" ht="32" customHeight="1">
      <c r="A245" s="3" t="inlineStr">
        <is>
          <t>13. PJ UNIFIÉES</t>
        </is>
      </c>
      <c r="B245" s="3" t="inlineStr">
        <is>
          <t>13.5 Drive lazy scan</t>
        </is>
      </c>
      <c r="C245" s="4" t="inlineStr">
        <is>
          <t>13.5.3</t>
        </is>
      </c>
      <c r="D245" s="3" t="inlineStr">
        <is>
          <t>Console : `DB.documents.filter(d =&gt; d._discoveredFromDrive)`</t>
        </is>
      </c>
      <c r="E245" s="3" t="inlineStr">
        <is>
          <t>Array contenant le fichier déposé manuellement</t>
        </is>
      </c>
      <c r="F245" s="3" t="inlineStr">
        <is>
          <t>Console</t>
        </is>
      </c>
      <c r="G245" s="3" t="inlineStr">
        <is>
          <t>Array vide → merge KO</t>
        </is>
      </c>
      <c r="H245" s="4" t="inlineStr"/>
      <c r="I245" s="3" t="inlineStr"/>
      <c r="J245" s="4" t="n">
        <v>1</v>
      </c>
    </row>
    <row r="246" ht="32" customHeight="1">
      <c r="A246" s="3" t="inlineStr">
        <is>
          <t>13. PJ UNIFIÉES</t>
        </is>
      </c>
      <c r="B246" s="3" t="inlineStr">
        <is>
          <t>13.5 Drive lazy scan</t>
        </is>
      </c>
      <c r="C246" s="4" t="inlineStr">
        <is>
          <t>13.5.4</t>
        </is>
      </c>
      <c r="D246" s="3" t="inlineStr">
        <is>
          <t>Ouvrir le fichier découvert dans l'app (clic 👁)</t>
        </is>
      </c>
      <c r="E246" s="3" t="inlineStr">
        <is>
          <t>Téléchargement depuis Drive (idbKey:null) + cache IDB + affichage</t>
        </is>
      </c>
      <c r="F246" s="3" t="inlineStr">
        <is>
          <t>Visuel + console</t>
        </is>
      </c>
      <c r="G246" s="3" t="inlineStr">
        <is>
          <t>Erreur fetch Drive</t>
        </is>
      </c>
      <c r="H246" s="4" t="inlineStr"/>
      <c r="I246" s="3" t="inlineStr"/>
      <c r="J246" s="4" t="n">
        <v>2</v>
      </c>
    </row>
    <row r="247" ht="32" customHeight="1">
      <c r="A247" s="3" t="inlineStr">
        <is>
          <t>13. PJ UNIFIÉES</t>
        </is>
      </c>
      <c r="B247" s="3" t="inlineStr">
        <is>
          <t>13.5 Drive lazy scan</t>
        </is>
      </c>
      <c r="C247" s="4" t="inlineStr">
        <is>
          <t>13.5.5</t>
        </is>
      </c>
      <c r="D247" s="3" t="inlineStr">
        <is>
          <t>Supprimer ce fichier dans Drive web (mettre à la corbeille)</t>
        </is>
      </c>
      <c r="E247" s="3" t="inlineStr">
        <is>
          <t>Drive corbeille rempli</t>
        </is>
      </c>
      <c r="F247" s="3" t="inlineStr">
        <is>
          <t>Drive web</t>
        </is>
      </c>
      <c r="G247" s="3" t="inlineStr">
        <is>
          <t>—</t>
        </is>
      </c>
      <c r="H247" s="4" t="inlineStr"/>
      <c r="I247" s="3" t="inlineStr"/>
      <c r="J247" s="4" t="n">
        <v>2</v>
      </c>
    </row>
    <row r="248" ht="32" customHeight="1">
      <c r="A248" s="3" t="inlineStr">
        <is>
          <t>13. PJ UNIFIÉES</t>
        </is>
      </c>
      <c r="B248" s="3" t="inlineStr">
        <is>
          <t>13.5 Drive lazy scan</t>
        </is>
      </c>
      <c r="C248" s="4" t="inlineStr">
        <is>
          <t>13.5.6</t>
        </is>
      </c>
      <c r="D248" s="3" t="inlineStr">
        <is>
          <t>App : F5 + ouvrir sous-onglet Documents</t>
        </is>
      </c>
      <c r="E248" s="3" t="inlineStr">
        <is>
          <t>Toast '🗑 1 fichier(s) supprimé(s) côté Drive' + fichier disparaît de la liste</t>
        </is>
      </c>
      <c r="F248" s="3" t="inlineStr">
        <is>
          <t>Toast + visuel</t>
        </is>
      </c>
      <c r="G248" s="3" t="inlineStr">
        <is>
          <t>Fichier toujours visible → tombstone KO</t>
        </is>
      </c>
      <c r="H248" s="4" t="inlineStr"/>
      <c r="I248" s="3" t="inlineStr"/>
      <c r="J248" s="4" t="n">
        <v>3</v>
      </c>
    </row>
    <row r="249" ht="45" customHeight="1">
      <c r="A249" s="3" t="inlineStr">
        <is>
          <t>13. PJ UNIFIÉES</t>
        </is>
      </c>
      <c r="B249" s="3" t="inlineStr">
        <is>
          <t>13.5 Drive lazy scan</t>
        </is>
      </c>
      <c r="C249" s="4" t="inlineStr">
        <is>
          <t>13.5.7</t>
        </is>
      </c>
      <c r="D249" s="3" t="inlineStr">
        <is>
          <t>Console : `DB.documents.find(d =&gt; d._deletedBy === 'drive_web')`</t>
        </is>
      </c>
      <c r="E249" s="3" t="inlineStr">
        <is>
          <t>Objet tombstone trouvé</t>
        </is>
      </c>
      <c r="F249" s="3" t="inlineStr">
        <is>
          <t>Console</t>
        </is>
      </c>
      <c r="G249" s="3" t="inlineStr">
        <is>
          <t>null → flag non posé</t>
        </is>
      </c>
      <c r="H249" s="4" t="inlineStr"/>
      <c r="I249" s="3" t="inlineStr"/>
      <c r="J249" s="4" t="n">
        <v>1</v>
      </c>
    </row>
    <row r="250" ht="32" customHeight="1">
      <c r="A250" s="3" t="inlineStr">
        <is>
          <t>13. PJ UNIFIÉES</t>
        </is>
      </c>
      <c r="B250" s="3" t="inlineStr">
        <is>
          <t>13.5 Drive lazy scan</t>
        </is>
      </c>
      <c r="C250" s="4" t="inlineStr">
        <is>
          <t>13.5.8</t>
        </is>
      </c>
      <c r="D250" s="3" t="inlineStr">
        <is>
          <t>Throttle : ouvrir Documents puis Photos en moins de 30s</t>
        </is>
      </c>
      <c r="E250" s="3" t="inlineStr">
        <is>
          <t>Scan une seule fois (skip 2e appel via throttle)</t>
        </is>
      </c>
      <c r="F250" s="3" t="inlineStr">
        <is>
          <t>Console (pas de toast 2x)</t>
        </is>
      </c>
      <c r="G250" s="3" t="inlineStr">
        <is>
          <t>Toast 2x → throttle KO</t>
        </is>
      </c>
      <c r="H250" s="4" t="inlineStr"/>
      <c r="I250" s="3" t="inlineStr"/>
      <c r="J250" s="4" t="n">
        <v>2</v>
      </c>
    </row>
    <row r="251" ht="32" customHeight="1">
      <c r="A251" s="3" t="inlineStr">
        <is>
          <t>13. PJ UNIFIÉES</t>
        </is>
      </c>
      <c r="B251" s="3" t="inlineStr">
        <is>
          <t>13.6 Sync Drive payload (audit fix v15.03)</t>
        </is>
      </c>
      <c r="C251" s="4" t="inlineStr">
        <is>
          <t>13.6.1</t>
        </is>
      </c>
      <c r="D251" s="3" t="inlineStr">
        <is>
          <t>Ajouter PJ sur mvt global SCI (qui = 'SCI:nom')</t>
        </is>
      </c>
      <c r="E251" s="3" t="inlineStr">
        <is>
          <t>PJ créée en IDB local (driveFileId null car logRef='SCI:nom')</t>
        </is>
      </c>
      <c r="F251" s="3" t="inlineStr">
        <is>
          <t>Console</t>
        </is>
      </c>
      <c r="G251" s="3" t="inlineStr">
        <is>
          <t>Erreur upload</t>
        </is>
      </c>
      <c r="H251" s="4" t="inlineStr"/>
      <c r="I251" s="3" t="inlineStr"/>
      <c r="J251" s="4" t="n">
        <v>2</v>
      </c>
    </row>
    <row r="252" ht="45" customHeight="1">
      <c r="A252" s="3" t="inlineStr">
        <is>
          <t>13. PJ UNIFIÉES</t>
        </is>
      </c>
      <c r="B252" s="3" t="inlineStr">
        <is>
          <t>13.6 Sync Drive payload (audit fix v15.03)</t>
        </is>
      </c>
      <c r="C252" s="4" t="inlineStr">
        <is>
          <t>13.6.2</t>
        </is>
      </c>
      <c r="D252" s="3" t="inlineStr">
        <is>
          <t>Console : `_buildEntityPayload(DB.entites[0]).documents.length`</t>
        </is>
      </c>
      <c r="E252" s="3" t="inlineStr">
        <is>
          <t>Inclut les docs de mouvements de cette entité (même globaux SCI)</t>
        </is>
      </c>
      <c r="F252" s="3" t="inlineStr">
        <is>
          <t>Console</t>
        </is>
      </c>
      <c r="G252" s="3" t="inlineStr">
        <is>
          <t>Documents manquants → fix #1 v15.03 régression</t>
        </is>
      </c>
      <c r="H252" s="4" t="inlineStr"/>
      <c r="I252" s="3" t="inlineStr"/>
      <c r="J252" s="4" t="n">
        <v>2</v>
      </c>
    </row>
    <row r="253" ht="45" customHeight="1">
      <c r="A253" s="3" t="inlineStr">
        <is>
          <t>13. PJ UNIFIÉES</t>
        </is>
      </c>
      <c r="B253" s="3" t="inlineStr">
        <is>
          <t>13.6 Sync Drive payload (audit fix v15.03)</t>
        </is>
      </c>
      <c r="C253" s="4" t="inlineStr">
        <is>
          <t>13.6.3</t>
        </is>
      </c>
      <c r="D253" s="3" t="inlineStr">
        <is>
          <t>Forcer push Drive → vérifier que entity-*.json contient documents[]</t>
        </is>
      </c>
      <c r="E253" s="3" t="inlineStr">
        <is>
          <t>Documents bien dans le JSON serialisé</t>
        </is>
      </c>
      <c r="F253" s="3" t="inlineStr">
        <is>
          <t>Drive web → ouvrir JSON</t>
        </is>
      </c>
      <c r="G253" s="3" t="inlineStr">
        <is>
          <t>documents[] vide ou absent</t>
        </is>
      </c>
      <c r="H253" s="4" t="inlineStr"/>
      <c r="I253" s="3" t="inlineStr"/>
      <c r="J253" s="4" t="n">
        <v>3</v>
      </c>
    </row>
    <row r="254" ht="32" customHeight="1">
      <c r="A254" s="3" t="inlineStr">
        <is>
          <t>13. PJ UNIFIÉES</t>
        </is>
      </c>
      <c r="B254" s="3" t="inlineStr">
        <is>
          <t>13.6 Sync Drive payload (audit fix v15.03)</t>
        </is>
      </c>
      <c r="C254" s="4" t="inlineStr">
        <is>
          <t>13.6.4</t>
        </is>
      </c>
      <c r="D254" s="3" t="inlineStr">
        <is>
          <t>Sur 2e device (ou Reset DB) → pull</t>
        </is>
      </c>
      <c r="E254" s="3" t="inlineStr">
        <is>
          <t>Documents repris correctement</t>
        </is>
      </c>
      <c r="F254" s="3" t="inlineStr">
        <is>
          <t>Console + UI</t>
        </is>
      </c>
      <c r="G254" s="3" t="inlineStr">
        <is>
          <t>Documents perdus → sync incomplet</t>
        </is>
      </c>
      <c r="H254" s="4" t="inlineStr"/>
      <c r="I254" s="3" t="inlineStr"/>
      <c r="J254" s="4" t="n">
        <v>5</v>
      </c>
    </row>
    <row r="255" ht="32" customHeight="1">
      <c r="A255" s="3" t="inlineStr">
        <is>
          <t>13. PJ UNIFIÉES</t>
        </is>
      </c>
      <c r="B255" s="3" t="inlineStr">
        <is>
          <t>13.7 Audit-trail del&lt;X&gt; (fix v15.03)</t>
        </is>
      </c>
      <c r="C255" s="4" t="inlineStr">
        <is>
          <t>13.7.1</t>
        </is>
      </c>
      <c r="D255" s="3" t="inlineStr">
        <is>
          <t>Supprimer un mouvement avec PJ</t>
        </is>
      </c>
      <c r="E255" s="3" t="inlineStr">
        <is>
          <t>Confirm + toast suppression OK</t>
        </is>
      </c>
      <c r="F255" s="3" t="inlineStr">
        <is>
          <t>Toast</t>
        </is>
      </c>
      <c r="G255" s="3" t="inlineStr">
        <is>
          <t>Crash</t>
        </is>
      </c>
      <c r="H255" s="4" t="inlineStr"/>
      <c r="I255" s="3" t="inlineStr"/>
      <c r="J255" s="4" t="n">
        <v>1</v>
      </c>
    </row>
    <row r="256" ht="45" customHeight="1">
      <c r="A256" s="3" t="inlineStr">
        <is>
          <t>13. PJ UNIFIÉES</t>
        </is>
      </c>
      <c r="B256" s="3" t="inlineStr">
        <is>
          <t>13.7 Audit-trail del&lt;X&gt; (fix v15.03)</t>
        </is>
      </c>
      <c r="C256" s="4" t="inlineStr">
        <is>
          <t>13.7.2</t>
        </is>
      </c>
      <c r="D256" s="3" t="inlineStr">
        <is>
          <t>Console : `DB.auditTrail.filter(e =&gt; e.action==='delete' &amp;&amp; e.entityType==='mouvement').slice(-1)[0]`</t>
        </is>
      </c>
      <c r="E256" s="3" t="inlineStr">
        <is>
          <t>Entry présent avec ts récent</t>
        </is>
      </c>
      <c r="F256" s="3" t="inlineStr">
        <is>
          <t>Console</t>
        </is>
      </c>
      <c r="G256" s="3" t="inlineStr">
        <is>
          <t>undefined → delMv pas hooké</t>
        </is>
      </c>
      <c r="H256" s="4" t="inlineStr"/>
      <c r="I256" s="3" t="inlineStr"/>
      <c r="J256" s="4" t="n">
        <v>1</v>
      </c>
    </row>
    <row r="257" ht="45" customHeight="1">
      <c r="A257" s="3" t="inlineStr">
        <is>
          <t>13. PJ UNIFIÉES</t>
        </is>
      </c>
      <c r="B257" s="3" t="inlineStr">
        <is>
          <t>13.7 Audit-trail del&lt;X&gt; (fix v15.03)</t>
        </is>
      </c>
      <c r="C257" s="4" t="inlineStr">
        <is>
          <t>13.7.3</t>
        </is>
      </c>
      <c r="D257" s="3" t="inlineStr">
        <is>
          <t>Tester suppressions delQuit / delAss / delMrh / delEDL / delImm</t>
        </is>
      </c>
      <c r="E257" s="3" t="inlineStr">
        <is>
          <t>Chaque suppression crée une entrée audit-trail (action='delete')</t>
        </is>
      </c>
      <c r="F257" s="3" t="inlineStr">
        <is>
          <t>Console : `[...new Set(DB.auditTrail.filter(e =&gt; e.action==='delete').map(e =&gt; e.entityType))]`</t>
        </is>
      </c>
      <c r="G257" s="3" t="inlineStr">
        <is>
          <t>Array &lt; 6 types couverts → hooks manquants</t>
        </is>
      </c>
      <c r="H257" s="4" t="inlineStr"/>
      <c r="I257" s="3" t="inlineStr"/>
      <c r="J257" s="4" t="n">
        <v>5</v>
      </c>
    </row>
    <row r="258" ht="32" customHeight="1">
      <c r="A258" s="3" t="inlineStr">
        <is>
          <t>13. PJ UNIFIÉES</t>
        </is>
      </c>
      <c r="B258" s="3" t="inlineStr">
        <is>
          <t>13.8 Cas limites / edge cases</t>
        </is>
      </c>
      <c r="C258" s="4" t="inlineStr">
        <is>
          <t>13.8.1</t>
        </is>
      </c>
      <c r="D258" s="3" t="inlineStr">
        <is>
          <t>Reset DB local → pull Drive</t>
        </is>
      </c>
      <c r="E258" s="3" t="inlineStr">
        <is>
          <t>PJ idbKey:null après pull (binaire pas en IDB local)</t>
        </is>
      </c>
      <c r="F258" s="3" t="inlineStr">
        <is>
          <t>Console</t>
        </is>
      </c>
      <c r="G258" s="3" t="inlineStr">
        <is>
          <t>Erreur pull</t>
        </is>
      </c>
      <c r="H258" s="4" t="inlineStr"/>
      <c r="I258" s="3" t="inlineStr"/>
      <c r="J258" s="4" t="n">
        <v>3</v>
      </c>
    </row>
    <row r="259" ht="32" customHeight="1">
      <c r="A259" s="3" t="inlineStr">
        <is>
          <t>13. PJ UNIFIÉES</t>
        </is>
      </c>
      <c r="B259" s="3" t="inlineStr">
        <is>
          <t>13.8 Cas limites / edge cases</t>
        </is>
      </c>
      <c r="C259" s="4" t="inlineStr">
        <is>
          <t>13.8.2</t>
        </is>
      </c>
      <c r="D259" s="3" t="inlineStr">
        <is>
          <t>Cliquer 👁 sur PJ avec idbKey:null + driveFileId:non-null</t>
        </is>
      </c>
      <c r="E259" s="3" t="inlineStr">
        <is>
          <t>Toast '📥 Téléchargement depuis Drive…' puis ouverture</t>
        </is>
      </c>
      <c r="F259" s="3" t="inlineStr">
        <is>
          <t>Toast + visuel</t>
        </is>
      </c>
      <c r="G259" s="3" t="inlineStr">
        <is>
          <t>Erreur 'Binaire introuvable'</t>
        </is>
      </c>
      <c r="H259" s="4" t="inlineStr"/>
      <c r="I259" s="3" t="inlineStr"/>
      <c r="J259" s="4" t="n">
        <v>3</v>
      </c>
    </row>
    <row r="260" ht="32" customHeight="1">
      <c r="A260" s="3" t="inlineStr">
        <is>
          <t>13. PJ UNIFIÉES</t>
        </is>
      </c>
      <c r="B260" s="3" t="inlineStr">
        <is>
          <t>13.8 Cas limites / edge cases</t>
        </is>
      </c>
      <c r="C260" s="4" t="inlineStr">
        <is>
          <t>13.8.3</t>
        </is>
      </c>
      <c r="D260" s="3" t="inlineStr">
        <is>
          <t>Cliquer 👁 sur PJ idbKey:null + driveFileId:null (orphelin)</t>
        </is>
      </c>
      <c r="E260" s="3" t="inlineStr">
        <is>
          <t>Toast erreur 'Binaire PJ introuvable (IDB + Drive)'</t>
        </is>
      </c>
      <c r="F260" s="3" t="inlineStr">
        <is>
          <t>Toast</t>
        </is>
      </c>
      <c r="G260" s="3" t="inlineStr">
        <is>
          <t>Crash JS</t>
        </is>
      </c>
      <c r="H260" s="4" t="inlineStr"/>
      <c r="I260" s="3" t="inlineStr"/>
      <c r="J260" s="4" t="n">
        <v>2</v>
      </c>
    </row>
    <row r="261" ht="32" customHeight="1">
      <c r="A261" s="3" t="inlineStr">
        <is>
          <t>13. PJ UNIFIÉES</t>
        </is>
      </c>
      <c r="B261" s="3" t="inlineStr">
        <is>
          <t>13.8 Cas limites / edge cases</t>
        </is>
      </c>
      <c r="C261" s="4" t="inlineStr">
        <is>
          <t>13.8.4</t>
        </is>
      </c>
      <c r="D261" s="3" t="inlineStr">
        <is>
          <t>Console : `window._attachmentOrphans(DB.documents).length`</t>
        </is>
      </c>
      <c r="E261" s="3" t="inlineStr">
        <is>
          <t>Compteur de PJ orphelines (idéalement 0)</t>
        </is>
      </c>
      <c r="F261" s="3" t="inlineStr">
        <is>
          <t>Console</t>
        </is>
      </c>
      <c r="G261" s="3" t="inlineStr">
        <is>
          <t>—</t>
        </is>
      </c>
      <c r="H261" s="4" t="inlineStr"/>
      <c r="I261" s="3" t="inlineStr"/>
      <c r="J261" s="4" t="n">
        <v>1</v>
      </c>
    </row>
    <row r="262" ht="32" customHeight="1">
      <c r="A262" s="3" t="inlineStr">
        <is>
          <t>13. PJ UNIFIÉES</t>
        </is>
      </c>
      <c r="B262" s="3" t="inlineStr">
        <is>
          <t>13.8 Cas limites / edge cases</t>
        </is>
      </c>
      <c r="C262" s="4" t="inlineStr">
        <is>
          <t>13.8.5</t>
        </is>
      </c>
      <c r="D262" s="3" t="inlineStr">
        <is>
          <t>Drive non connecté : ajouter PJ</t>
        </is>
      </c>
      <c r="E262" s="3" t="inlineStr">
        <is>
          <t>PJ stockée en IDB local uniquement, driveFileId reste null</t>
        </is>
      </c>
      <c r="F262" s="3" t="inlineStr">
        <is>
          <t>Console</t>
        </is>
      </c>
      <c r="G262" s="3" t="inlineStr">
        <is>
          <t>Upload tenté → erreur OAuth</t>
        </is>
      </c>
      <c r="H262" s="4" t="inlineStr"/>
      <c r="I262" s="3" t="inlineStr"/>
      <c r="J262" s="4" t="n">
        <v>2</v>
      </c>
    </row>
    <row r="263" ht="45" customHeight="1">
      <c r="A263" s="3" t="inlineStr">
        <is>
          <t>13. PJ UNIFIÉES</t>
        </is>
      </c>
      <c r="B263" s="3" t="inlineStr">
        <is>
          <t>13.8 Cas limites / edge cases</t>
        </is>
      </c>
      <c r="C263" s="4" t="inlineStr">
        <is>
          <t>13.8.6</t>
        </is>
      </c>
      <c r="D263" s="3" t="inlineStr">
        <is>
          <t>Reconnecter Drive : vérifier que les PJ orphelines (driveFileId:null) ne re-uploadent PAS automatiquement</t>
        </is>
      </c>
      <c r="E263" s="3" t="inlineStr">
        <is>
          <t>Pas de re-upload auto (limite V1, à implémenter V1.1)</t>
        </is>
      </c>
      <c r="F263" s="3" t="inlineStr">
        <is>
          <t>Console + Drive web</t>
        </is>
      </c>
      <c r="G263" s="3" t="inlineStr">
        <is>
          <t>Re-upload tenté à chaque connexion (gaspillage API)</t>
        </is>
      </c>
      <c r="H263" s="4" t="inlineStr"/>
      <c r="I263" s="3" t="inlineStr"/>
      <c r="J263" s="4" t="n">
        <v>2</v>
      </c>
    </row>
  </sheetData>
  <mergeCells count="13">
    <mergeCell ref="A132:J132"/>
    <mergeCell ref="A201:J201"/>
    <mergeCell ref="A173:J173"/>
    <mergeCell ref="A204:J204"/>
    <mergeCell ref="A30:J30"/>
    <mergeCell ref="A215:J215"/>
    <mergeCell ref="A55:J55"/>
    <mergeCell ref="A148:J148"/>
    <mergeCell ref="A209:J209"/>
    <mergeCell ref="A2:J2"/>
    <mergeCell ref="A72:J72"/>
    <mergeCell ref="A165:J165"/>
    <mergeCell ref="A161:J161"/>
  </mergeCells>
  <conditionalFormatting sqref="A2:J263">
    <cfRule type="expression" priority="1" dxfId="0">
      <formula>$H2="✅"</formula>
    </cfRule>
    <cfRule type="expression" priority="2" dxfId="1">
      <formula>$H2="❌"</formula>
    </cfRule>
    <cfRule type="expression" priority="3" dxfId="2">
      <formula>$H2="⏭️"</formula>
    </cfRule>
    <cfRule type="expression" priority="4" dxfId="3">
      <formula>$H2="⚠️"</formula>
    </cfRule>
  </conditionalFormatting>
  <dataValidations count="1">
    <dataValidation sqref="H2:H263" showDropDown="0" showInputMessage="0" showErrorMessage="0" allowBlank="1" errorTitle="Statut invalide" error="Choisir : ✅ OK | ❌ KO | ⏭️ Skip | ⚠️ Partiel" promptTitle="Statut" prompt="✅ OK ❌ KO ⏭️ Skip ⚠️ Partiel" type="list">
      <formula1>"✅,❌,⏭️,⚠️"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5" t="inlineStr">
        <is>
          <t>SYNTHÈSE VALIDATION V1 COMMERCIALE ImmoTrack v15.03</t>
        </is>
      </c>
    </row>
    <row r="3">
      <c r="A3" s="6" t="inlineStr">
        <is>
          <t>Compteurs globaux</t>
        </is>
      </c>
    </row>
    <row r="4">
      <c r="A4" t="inlineStr">
        <is>
          <t>Total points :</t>
        </is>
      </c>
      <c r="B4">
        <f>COUNTA(Checklist!C2:C263)</f>
        <v/>
      </c>
    </row>
    <row r="5">
      <c r="A5" t="inlineStr">
        <is>
          <t>✅ OK :</t>
        </is>
      </c>
      <c r="B5" s="7">
        <f>COUNTIF(Checklist!H2:H263, "✅")</f>
        <v/>
      </c>
    </row>
    <row r="6">
      <c r="A6" t="inlineStr">
        <is>
          <t>❌ KO :</t>
        </is>
      </c>
      <c r="B6" s="8">
        <f>COUNTIF(Checklist!H2:H263, "❌")</f>
        <v/>
      </c>
    </row>
    <row r="7">
      <c r="A7" t="inlineStr">
        <is>
          <t>⚠️ Partiel :</t>
        </is>
      </c>
      <c r="B7" s="9">
        <f>COUNTIF(Checklist!H2:H263, "⚠️")</f>
        <v/>
      </c>
    </row>
    <row r="8">
      <c r="A8" t="inlineStr">
        <is>
          <t>⏭️ Skip :</t>
        </is>
      </c>
      <c r="B8" s="10">
        <f>COUNTIF(Checklist!H2:H263, "⏭️")</f>
        <v/>
      </c>
    </row>
    <row r="9">
      <c r="A9" t="inlineStr">
        <is>
          <t>Non testés :</t>
        </is>
      </c>
      <c r="B9">
        <f>B4-B5-B6-B7-B8</f>
        <v/>
      </c>
    </row>
    <row r="10">
      <c r="A10" t="inlineStr">
        <is>
          <t>Progression :</t>
        </is>
      </c>
      <c r="B10" s="11">
        <f>(B5+B7+B8)/B4</f>
        <v/>
      </c>
    </row>
    <row r="12">
      <c r="A12" s="6" t="inlineStr">
        <is>
          <t>Compteurs par section</t>
        </is>
      </c>
    </row>
    <row r="13">
      <c r="A13" s="12" t="inlineStr">
        <is>
          <t>Section</t>
        </is>
      </c>
      <c r="B13" s="12" t="inlineStr">
        <is>
          <t>Total</t>
        </is>
      </c>
      <c r="C13" s="12" t="inlineStr">
        <is>
          <t>✅</t>
        </is>
      </c>
      <c r="D13" s="12" t="inlineStr">
        <is>
          <t>❌</t>
        </is>
      </c>
      <c r="E13" s="12" t="inlineStr">
        <is>
          <t>⚠️</t>
        </is>
      </c>
      <c r="F13" s="12" t="inlineStr">
        <is>
          <t>⏭️</t>
        </is>
      </c>
      <c r="G13" s="12" t="inlineStr">
        <is>
          <t>Restant</t>
        </is>
      </c>
      <c r="H13" s="12" t="inlineStr">
        <is>
          <t>%</t>
        </is>
      </c>
    </row>
    <row r="14">
      <c r="A14" t="inlineStr">
        <is>
          <t>1. AUTO</t>
        </is>
      </c>
      <c r="B14">
        <f>COUNTIF(Checklist!A:A, "1. AUTO")</f>
        <v/>
      </c>
      <c r="C14">
        <f>COUNTIFS(Checklist!A:A, "1. AUTO", Checklist!H:H, "✅")</f>
        <v/>
      </c>
      <c r="D14">
        <f>COUNTIFS(Checklist!A:A, "1. AUTO", Checklist!H:H, "❌")</f>
        <v/>
      </c>
      <c r="E14">
        <f>COUNTIFS(Checklist!A:A, "1. AUTO", Checklist!H:H, "⚠️")</f>
        <v/>
      </c>
      <c r="F14">
        <f>COUNTIFS(Checklist!A:A, "1. AUTO", Checklist!H:H, "⏭️")</f>
        <v/>
      </c>
      <c r="G14">
        <f>B14-C14-D14-E14-F14</f>
        <v/>
      </c>
      <c r="H14" s="13">
        <f>IF(B14=0,0,(C14+E14+F14)/B14)</f>
        <v/>
      </c>
    </row>
    <row r="15">
      <c r="A15" t="inlineStr">
        <is>
          <t>2. SÉCU XSS</t>
        </is>
      </c>
      <c r="B15">
        <f>COUNTIF(Checklist!A:A, "2. SÉCU XSS")</f>
        <v/>
      </c>
      <c r="C15">
        <f>COUNTIFS(Checklist!A:A, "2. SÉCU XSS", Checklist!H:H, "✅")</f>
        <v/>
      </c>
      <c r="D15">
        <f>COUNTIFS(Checklist!A:A, "2. SÉCU XSS", Checklist!H:H, "❌")</f>
        <v/>
      </c>
      <c r="E15">
        <f>COUNTIFS(Checklist!A:A, "2. SÉCU XSS", Checklist!H:H, "⚠️")</f>
        <v/>
      </c>
      <c r="F15">
        <f>COUNTIFS(Checklist!A:A, "2. SÉCU XSS", Checklist!H:H, "⏭️")</f>
        <v/>
      </c>
      <c r="G15">
        <f>B15-C15-D15-E15-F15</f>
        <v/>
      </c>
      <c r="H15" s="13">
        <f>IF(B15=0,0,(C15+E15+F15)/B15)</f>
        <v/>
      </c>
    </row>
    <row r="16">
      <c r="A16" t="inlineStr">
        <is>
          <t>3. ARCHI</t>
        </is>
      </c>
      <c r="B16">
        <f>COUNTIF(Checklist!A:A, "3. ARCHI")</f>
        <v/>
      </c>
      <c r="C16">
        <f>COUNTIFS(Checklist!A:A, "3. ARCHI", Checklist!H:H, "✅")</f>
        <v/>
      </c>
      <c r="D16">
        <f>COUNTIFS(Checklist!A:A, "3. ARCHI", Checklist!H:H, "❌")</f>
        <v/>
      </c>
      <c r="E16">
        <f>COUNTIFS(Checklist!A:A, "3. ARCHI", Checklist!H:H, "⚠️")</f>
        <v/>
      </c>
      <c r="F16">
        <f>COUNTIFS(Checklist!A:A, "3. ARCHI", Checklist!H:H, "⏭️")</f>
        <v/>
      </c>
      <c r="G16">
        <f>B16-C16-D16-E16-F16</f>
        <v/>
      </c>
      <c r="H16" s="13">
        <f>IF(B16=0,0,(C16+E16+F16)/B16)</f>
        <v/>
      </c>
    </row>
    <row r="17">
      <c r="A17" t="inlineStr">
        <is>
          <t>4. CONFORMITÉ</t>
        </is>
      </c>
      <c r="B17">
        <f>COUNTIF(Checklist!A:A, "4. CONFORMITÉ")</f>
        <v/>
      </c>
      <c r="C17">
        <f>COUNTIFS(Checklist!A:A, "4. CONFORMITÉ", Checklist!H:H, "✅")</f>
        <v/>
      </c>
      <c r="D17">
        <f>COUNTIFS(Checklist!A:A, "4. CONFORMITÉ", Checklist!H:H, "❌")</f>
        <v/>
      </c>
      <c r="E17">
        <f>COUNTIFS(Checklist!A:A, "4. CONFORMITÉ", Checklist!H:H, "⚠️")</f>
        <v/>
      </c>
      <c r="F17">
        <f>COUNTIFS(Checklist!A:A, "4. CONFORMITÉ", Checklist!H:H, "⏭️")</f>
        <v/>
      </c>
      <c r="G17">
        <f>B17-C17-D17-E17-F17</f>
        <v/>
      </c>
      <c r="H17" s="13">
        <f>IF(B17=0,0,(C17+E17+F17)/B17)</f>
        <v/>
      </c>
    </row>
    <row r="18">
      <c r="A18" t="inlineStr">
        <is>
          <t>5. BUGS P1</t>
        </is>
      </c>
      <c r="B18">
        <f>COUNTIF(Checklist!A:A, "5. BUGS P1")</f>
        <v/>
      </c>
      <c r="C18">
        <f>COUNTIFS(Checklist!A:A, "5. BUGS P1", Checklist!H:H, "✅")</f>
        <v/>
      </c>
      <c r="D18">
        <f>COUNTIFS(Checklist!A:A, "5. BUGS P1", Checklist!H:H, "❌")</f>
        <v/>
      </c>
      <c r="E18">
        <f>COUNTIFS(Checklist!A:A, "5. BUGS P1", Checklist!H:H, "⚠️")</f>
        <v/>
      </c>
      <c r="F18">
        <f>COUNTIFS(Checklist!A:A, "5. BUGS P1", Checklist!H:H, "⏭️")</f>
        <v/>
      </c>
      <c r="G18">
        <f>B18-C18-D18-E18-F18</f>
        <v/>
      </c>
      <c r="H18" s="13">
        <f>IF(B18=0,0,(C18+E18+F18)/B18)</f>
        <v/>
      </c>
    </row>
    <row r="19">
      <c r="A19" t="inlineStr">
        <is>
          <t>6. MONIT+CI</t>
        </is>
      </c>
      <c r="B19">
        <f>COUNTIF(Checklist!A:A, "6. MONIT+CI")</f>
        <v/>
      </c>
      <c r="C19">
        <f>COUNTIFS(Checklist!A:A, "6. MONIT+CI", Checklist!H:H, "✅")</f>
        <v/>
      </c>
      <c r="D19">
        <f>COUNTIFS(Checklist!A:A, "6. MONIT+CI", Checklist!H:H, "❌")</f>
        <v/>
      </c>
      <c r="E19">
        <f>COUNTIFS(Checklist!A:A, "6. MONIT+CI", Checklist!H:H, "⚠️")</f>
        <v/>
      </c>
      <c r="F19">
        <f>COUNTIFS(Checklist!A:A, "6. MONIT+CI", Checklist!H:H, "⏭️")</f>
        <v/>
      </c>
      <c r="G19">
        <f>B19-C19-D19-E19-F19</f>
        <v/>
      </c>
      <c r="H19" s="13">
        <f>IF(B19=0,0,(C19+E19+F19)/B19)</f>
        <v/>
      </c>
    </row>
    <row r="20">
      <c r="A20" t="inlineStr">
        <is>
          <t>7. EMAIL-AUTO</t>
        </is>
      </c>
      <c r="B20">
        <f>COUNTIF(Checklist!A:A, "7. EMAIL-AUTO")</f>
        <v/>
      </c>
      <c r="C20">
        <f>COUNTIFS(Checklist!A:A, "7. EMAIL-AUTO", Checklist!H:H, "✅")</f>
        <v/>
      </c>
      <c r="D20">
        <f>COUNTIFS(Checklist!A:A, "7. EMAIL-AUTO", Checklist!H:H, "❌")</f>
        <v/>
      </c>
      <c r="E20">
        <f>COUNTIFS(Checklist!A:A, "7. EMAIL-AUTO", Checklist!H:H, "⚠️")</f>
        <v/>
      </c>
      <c r="F20">
        <f>COUNTIFS(Checklist!A:A, "7. EMAIL-AUTO", Checklist!H:H, "⏭️")</f>
        <v/>
      </c>
      <c r="G20">
        <f>B20-C20-D20-E20-F20</f>
        <v/>
      </c>
      <c r="H20" s="13">
        <f>IF(B20=0,0,(C20+E20+F20)/B20)</f>
        <v/>
      </c>
    </row>
    <row r="21">
      <c r="A21" t="inlineStr">
        <is>
          <t>8. DRIVE SYNC</t>
        </is>
      </c>
      <c r="B21">
        <f>COUNTIF(Checklist!A:A, "8. DRIVE SYNC")</f>
        <v/>
      </c>
      <c r="C21">
        <f>COUNTIFS(Checklist!A:A, "8. DRIVE SYNC", Checklist!H:H, "✅")</f>
        <v/>
      </c>
      <c r="D21">
        <f>COUNTIFS(Checklist!A:A, "8. DRIVE SYNC", Checklist!H:H, "❌")</f>
        <v/>
      </c>
      <c r="E21">
        <f>COUNTIFS(Checklist!A:A, "8. DRIVE SYNC", Checklist!H:H, "⚠️")</f>
        <v/>
      </c>
      <c r="F21">
        <f>COUNTIFS(Checklist!A:A, "8. DRIVE SYNC", Checklist!H:H, "⏭️")</f>
        <v/>
      </c>
      <c r="G21">
        <f>B21-C21-D21-E21-F21</f>
        <v/>
      </c>
      <c r="H21" s="13">
        <f>IF(B21=0,0,(C21+E21+F21)/B21)</f>
        <v/>
      </c>
    </row>
    <row r="22">
      <c r="A22" t="inlineStr">
        <is>
          <t>9. PARCOURS</t>
        </is>
      </c>
      <c r="B22">
        <f>COUNTIF(Checklist!A:A, "9. PARCOURS")</f>
        <v/>
      </c>
      <c r="C22">
        <f>COUNTIFS(Checklist!A:A, "9. PARCOURS", Checklist!H:H, "✅")</f>
        <v/>
      </c>
      <c r="D22">
        <f>COUNTIFS(Checklist!A:A, "9. PARCOURS", Checklist!H:H, "❌")</f>
        <v/>
      </c>
      <c r="E22">
        <f>COUNTIFS(Checklist!A:A, "9. PARCOURS", Checklist!H:H, "⚠️")</f>
        <v/>
      </c>
      <c r="F22">
        <f>COUNTIFS(Checklist!A:A, "9. PARCOURS", Checklist!H:H, "⏭️")</f>
        <v/>
      </c>
      <c r="G22">
        <f>B22-C22-D22-E22-F22</f>
        <v/>
      </c>
      <c r="H22" s="13">
        <f>IF(B22=0,0,(C22+E22+F22)/B22)</f>
        <v/>
      </c>
    </row>
    <row r="23">
      <c r="A23" t="inlineStr">
        <is>
          <t>10. ERRORS</t>
        </is>
      </c>
      <c r="B23">
        <f>COUNTIF(Checklist!A:A, "10. ERRORS")</f>
        <v/>
      </c>
      <c r="C23">
        <f>COUNTIFS(Checklist!A:A, "10. ERRORS", Checklist!H:H, "✅")</f>
        <v/>
      </c>
      <c r="D23">
        <f>COUNTIFS(Checklist!A:A, "10. ERRORS", Checklist!H:H, "❌")</f>
        <v/>
      </c>
      <c r="E23">
        <f>COUNTIFS(Checklist!A:A, "10. ERRORS", Checklist!H:H, "⚠️")</f>
        <v/>
      </c>
      <c r="F23">
        <f>COUNTIFS(Checklist!A:A, "10. ERRORS", Checklist!H:H, "⏭️")</f>
        <v/>
      </c>
      <c r="G23">
        <f>B23-C23-D23-E23-F23</f>
        <v/>
      </c>
      <c r="H23" s="13">
        <f>IF(B23=0,0,(C23+E23+F23)/B23)</f>
        <v/>
      </c>
    </row>
    <row r="24">
      <c r="A24" t="inlineStr">
        <is>
          <t>11. AVANCÉ</t>
        </is>
      </c>
      <c r="B24">
        <f>COUNTIF(Checklist!A:A, "11. AVANCÉ")</f>
        <v/>
      </c>
      <c r="C24">
        <f>COUNTIFS(Checklist!A:A, "11. AVANCÉ", Checklist!H:H, "✅")</f>
        <v/>
      </c>
      <c r="D24">
        <f>COUNTIFS(Checklist!A:A, "11. AVANCÉ", Checklist!H:H, "❌")</f>
        <v/>
      </c>
      <c r="E24">
        <f>COUNTIFS(Checklist!A:A, "11. AVANCÉ", Checklist!H:H, "⚠️")</f>
        <v/>
      </c>
      <c r="F24">
        <f>COUNTIFS(Checklist!A:A, "11. AVANCÉ", Checklist!H:H, "⏭️")</f>
        <v/>
      </c>
      <c r="G24">
        <f>B24-C24-D24-E24-F24</f>
        <v/>
      </c>
      <c r="H24" s="13">
        <f>IF(B24=0,0,(C24+E24+F24)/B24)</f>
        <v/>
      </c>
    </row>
    <row r="25">
      <c r="A25" t="inlineStr">
        <is>
          <t>12. BASCULE</t>
        </is>
      </c>
      <c r="B25">
        <f>COUNTIF(Checklist!A:A, "12. BASCULE")</f>
        <v/>
      </c>
      <c r="C25">
        <f>COUNTIFS(Checklist!A:A, "12. BASCULE", Checklist!H:H, "✅")</f>
        <v/>
      </c>
      <c r="D25">
        <f>COUNTIFS(Checklist!A:A, "12. BASCULE", Checklist!H:H, "❌")</f>
        <v/>
      </c>
      <c r="E25">
        <f>COUNTIFS(Checklist!A:A, "12. BASCULE", Checklist!H:H, "⚠️")</f>
        <v/>
      </c>
      <c r="F25">
        <f>COUNTIFS(Checklist!A:A, "12. BASCULE", Checklist!H:H, "⏭️")</f>
        <v/>
      </c>
      <c r="G25">
        <f>B25-C25-D25-E25-F25</f>
        <v/>
      </c>
      <c r="H25" s="13">
        <f>IF(B25=0,0,(C25+E25+F25)/B25)</f>
        <v/>
      </c>
    </row>
    <row r="26">
      <c r="A26" t="inlineStr">
        <is>
          <t>13. PJ UNIFIÉES</t>
        </is>
      </c>
      <c r="B26">
        <f>COUNTIF(Checklist!A:A, "13. PJ UNIFIÉES")</f>
        <v/>
      </c>
      <c r="C26">
        <f>COUNTIFS(Checklist!A:A, "13. PJ UNIFIÉES", Checklist!H:H, "✅")</f>
        <v/>
      </c>
      <c r="D26">
        <f>COUNTIFS(Checklist!A:A, "13. PJ UNIFIÉES", Checklist!H:H, "❌")</f>
        <v/>
      </c>
      <c r="E26">
        <f>COUNTIFS(Checklist!A:A, "13. PJ UNIFIÉES", Checklist!H:H, "⚠️")</f>
        <v/>
      </c>
      <c r="F26">
        <f>COUNTIFS(Checklist!A:A, "13. PJ UNIFIÉES", Checklist!H:H, "⏭️")</f>
        <v/>
      </c>
      <c r="G26">
        <f>B26-C26-D26-E26-F26</f>
        <v/>
      </c>
      <c r="H26" s="13">
        <f>IF(B26=0,0,(C26+E26+F26)/B26)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0" customWidth="1" min="3" max="3"/>
  </cols>
  <sheetData>
    <row r="1">
      <c r="A1" s="14" t="inlineStr">
        <is>
          <t>COMMANDES TERMINAL / CONSOLE À COPIER-COLLER</t>
        </is>
      </c>
    </row>
    <row r="3">
      <c r="A3" s="15" t="inlineStr">
        <is>
          <t>Catégorie</t>
        </is>
      </c>
      <c r="B3" s="15" t="inlineStr">
        <is>
          <t>Description</t>
        </is>
      </c>
      <c r="C3" s="15" t="inlineStr">
        <is>
          <t>Commande</t>
        </is>
      </c>
    </row>
    <row r="4" ht="50" customHeight="1">
      <c r="A4" s="16" t="inlineStr">
        <is>
          <t>CONFIG</t>
        </is>
      </c>
      <c r="B4" s="17" t="inlineStr">
        <is>
          <t>Démarrer http-server sandbox</t>
        </is>
      </c>
      <c r="C4" s="18" t="inlineStr">
        <is>
          <t>cd C:/Users/Did_K/Desktop/Immo &amp;&amp; npx --yes http-server . -p 8766 -c-1 --silent &amp;</t>
        </is>
      </c>
    </row>
    <row r="5">
      <c r="A5" s="16" t="inlineStr">
        <is>
          <t>CONFIG</t>
        </is>
      </c>
      <c r="B5" s="17" t="inlineStr">
        <is>
          <t>Lancer Vitest</t>
        </is>
      </c>
      <c r="C5" s="18" t="inlineStr">
        <is>
          <t>cd C:/Users/Did_K/Desktop/Immo &amp;&amp; npm run test:run</t>
        </is>
      </c>
    </row>
    <row r="6">
      <c r="A6" s="16" t="inlineStr">
        <is>
          <t>CONFIG</t>
        </is>
      </c>
      <c r="B6" s="17" t="inlineStr">
        <is>
          <t>Vitest watch mode</t>
        </is>
      </c>
      <c r="C6" s="18" t="inlineStr">
        <is>
          <t>npm test</t>
        </is>
      </c>
    </row>
    <row r="7">
      <c r="A7" s="16" t="inlineStr">
        <is>
          <t>CONFIG</t>
        </is>
      </c>
      <c r="B7" s="17" t="inlineStr">
        <is>
          <t>Ouvrir l'app dans Chrome</t>
        </is>
      </c>
      <c r="C7" s="18" t="inlineStr">
        <is>
          <t>start chrome http://localhost:8766/index-test.html</t>
        </is>
      </c>
    </row>
    <row r="8" ht="50" customHeight="1">
      <c r="A8" s="16" t="inlineStr">
        <is>
          <t>HTTP</t>
        </is>
      </c>
      <c r="B8" s="17" t="inlineStr">
        <is>
          <t>Test HTTP modules ES batch</t>
        </is>
      </c>
      <c r="C8" s="18" t="inlineStr">
        <is>
          <t>for f in css/main.css js/main.js js/core/utils.js js/core/idb.js js/core/audit-trail.js js/core/legal-2044.js js/core/legal-bilan.js js/core/rgpd.js js/core/export-comptable.js js/core/import-concurrents.js js/core/monitoring.js js/core/email-compose.js js/components/toast.js js/components/modal.js js/components/email-modal.js; do
  curl -s -o /dev/null -w "%{http_code} %{size_download} $f\n" "http://localhost:8766/$f"
done</t>
        </is>
      </c>
    </row>
    <row r="9">
      <c r="A9" s="16" t="inlineStr">
        <is>
          <t>CONSOLE</t>
        </is>
      </c>
      <c r="B9" s="17" t="inlineStr">
        <is>
          <t>Sanity check window.escHtml</t>
        </is>
      </c>
      <c r="C9" s="18" t="inlineStr">
        <is>
          <t>typeof window.escHtml === "function"</t>
        </is>
      </c>
    </row>
    <row r="10">
      <c r="A10" s="16" t="inlineStr">
        <is>
          <t>CONSOLE</t>
        </is>
      </c>
      <c r="B10" s="17" t="inlineStr">
        <is>
          <t>Sanity check bootstrap</t>
        </is>
      </c>
      <c r="C10" s="18" t="inlineStr">
        <is>
          <t>window.__IMMOTRACK_MODULE_BOOTSTRAP__</t>
        </is>
      </c>
    </row>
    <row r="11">
      <c r="A11" s="16" t="inlineStr">
        <is>
          <t>CONSOLE</t>
        </is>
      </c>
      <c r="B11" s="17" t="inlineStr">
        <is>
          <t>Compte helpers exposés</t>
        </is>
      </c>
      <c r="C11" s="18" t="inlineStr">
        <is>
          <t>window.__IMMOTRACK_MODULE_BOOTSTRAP__.helpersExposed.length</t>
        </is>
      </c>
    </row>
    <row r="12">
      <c r="A12" s="16" t="inlineStr">
        <is>
          <t>CONSOLE XSS</t>
        </is>
      </c>
      <c r="B12" s="17" t="inlineStr">
        <is>
          <t>Test escHtml chaîne basique</t>
        </is>
      </c>
      <c r="C12" s="18" t="inlineStr">
        <is>
          <t>escHtml("&lt;x&gt;")</t>
        </is>
      </c>
    </row>
    <row r="13">
      <c r="A13" s="16" t="inlineStr">
        <is>
          <t>CONSOLE XSS</t>
        </is>
      </c>
      <c r="B13" s="17" t="inlineStr">
        <is>
          <t>Test _h tag function</t>
        </is>
      </c>
      <c r="C13" s="18" t="inlineStr">
        <is>
          <t>_h`&lt;b&gt;${"&lt;script&gt;"}&lt;/b&gt;`</t>
        </is>
      </c>
    </row>
    <row r="14">
      <c r="A14" s="16" t="inlineStr">
        <is>
          <t>CONSOLE XSS</t>
        </is>
      </c>
      <c r="B14" s="17" t="inlineStr">
        <is>
          <t>Test _h + _raw</t>
        </is>
      </c>
      <c r="C14" s="18" t="inlineStr">
        <is>
          <t>_h`&lt;b&gt;${_raw("&lt;strong&gt;OK&lt;/strong&gt;")}&lt;/b&gt;`</t>
        </is>
      </c>
    </row>
    <row r="15">
      <c r="A15" s="16" t="inlineStr">
        <is>
          <t>CONSOLE XSS</t>
        </is>
      </c>
      <c r="B15" s="17" t="inlineStr">
        <is>
          <t>Vérifier window.__xss après test entité</t>
        </is>
      </c>
      <c r="C15" s="18" t="inlineStr">
        <is>
          <t>window.__xss</t>
        </is>
      </c>
    </row>
    <row r="16">
      <c r="A16" s="16" t="inlineStr">
        <is>
          <t>CONSOLE AUDIT</t>
        </is>
      </c>
      <c r="B16" s="17" t="inlineStr">
        <is>
          <t>Dernière entrée audit-trail</t>
        </is>
      </c>
      <c r="C16" s="18" t="inlineStr">
        <is>
          <t>DB.auditTrail.slice(-1)[0]</t>
        </is>
      </c>
    </row>
    <row r="17">
      <c r="A17" s="16" t="inlineStr">
        <is>
          <t>CONSOLE AUDIT</t>
        </is>
      </c>
      <c r="B17" s="17" t="inlineStr">
        <is>
          <t>Types audit couverts</t>
        </is>
      </c>
      <c r="C17" s="18" t="inlineStr">
        <is>
          <t>[...new Set(DB.auditTrail.map(e =&gt; e.entityType))]</t>
        </is>
      </c>
    </row>
    <row r="18" ht="50" customHeight="1">
      <c r="A18" s="16" t="inlineStr">
        <is>
          <t>CONSOLE AUDIT</t>
        </is>
      </c>
      <c r="B18" s="17" t="inlineStr">
        <is>
          <t>Verif tous save&lt;X&gt; hookés</t>
        </is>
      </c>
      <c r="C18" s="18" t="inlineStr">
        <is>
          <t>(()=&gt;{const saveTypes=["mouvement","bail","entite","immeuble","logement","quittance","assurance","mrh","edl"];const auditTypes=new Set((DB.auditTrail||[]).map(e=&gt;e.entityType));return saveTypes.map(t=&gt;({type:t,audited:auditTypes.has(t)?"✅":"⚠️ MANQUE"}));})()</t>
        </is>
      </c>
    </row>
    <row r="19" ht="50" customHeight="1">
      <c r="A19" s="16" t="inlineStr">
        <is>
          <t>CONSOLE LEGAL-2044</t>
        </is>
      </c>
      <c r="B19" s="17" t="inlineStr">
        <is>
          <t>Test compute</t>
        </is>
      </c>
      <c r="C19" s="18" t="inlineStr">
        <is>
          <t>window._compute2044(DB.mouvements, STD_CATEGORIES, {yr: "2025", from: "2025-01-01", to: "2025-12-31"})</t>
        </is>
      </c>
    </row>
    <row r="20">
      <c r="A20" s="16" t="inlineStr">
        <is>
          <t>CONSOLE RGPD</t>
        </is>
      </c>
      <c r="B20" s="17" t="inlineStr">
        <is>
          <t>Trouver données locataire</t>
        </is>
      </c>
      <c r="C20" s="18" t="inlineStr">
        <is>
          <t>window._findPersonalDataForRef(DB, "F-001")</t>
        </is>
      </c>
    </row>
    <row r="21">
      <c r="A21" s="16" t="inlineStr">
        <is>
          <t>CONSOLE RGPD</t>
        </is>
      </c>
      <c r="B21" s="17" t="inlineStr">
        <is>
          <t>Vérifier éligibilité effacement</t>
        </is>
      </c>
      <c r="C21" s="18" t="inlineStr">
        <is>
          <t>window._isEraseEligible(DB, "F-001")</t>
        </is>
      </c>
    </row>
    <row r="22">
      <c r="A22" s="16" t="inlineStr">
        <is>
          <t>CONSOLE BILAN</t>
        </is>
      </c>
      <c r="B22" s="17" t="inlineStr">
        <is>
          <t>Bilan annuel entité</t>
        </is>
      </c>
      <c r="C22" s="18" t="inlineStr">
        <is>
          <t>window._computeBilanAnnuel(DB, STD_CATEGORIES, "Mon Entité", 2025)</t>
        </is>
      </c>
    </row>
    <row r="23">
      <c r="A23" s="16" t="inlineStr">
        <is>
          <t>CONSOLE COMPTA</t>
        </is>
      </c>
      <c r="B23" s="17" t="inlineStr">
        <is>
          <t>Build écritures FEC</t>
        </is>
      </c>
      <c r="C23" s="18" t="inlineStr">
        <is>
          <t>window._buildEcritures(DB.mouvements, STD_CATEGORIES, {yr: "2025"}).length</t>
        </is>
      </c>
    </row>
    <row r="24">
      <c r="A24" s="16" t="inlineStr">
        <is>
          <t>CONSOLE MONITORING</t>
        </is>
      </c>
      <c r="B24" s="17" t="inlineStr">
        <is>
          <t>Activer monitoring</t>
        </is>
      </c>
      <c r="C24" s="18" t="inlineStr">
        <is>
          <t>DB.params.monitoringEnabled = true; saveDB(); window._installGlobalCapture();</t>
        </is>
      </c>
    </row>
    <row r="25">
      <c r="A25" s="16" t="inlineStr">
        <is>
          <t>CONSOLE MONITORING</t>
        </is>
      </c>
      <c r="B25" s="17" t="inlineStr">
        <is>
          <t>Test logError</t>
        </is>
      </c>
      <c r="C25" s="18" t="inlineStr">
        <is>
          <t>_logError(new Error("test")); DB.errorLog.slice(-1)[0]</t>
        </is>
      </c>
    </row>
    <row r="26">
      <c r="A26" s="16" t="inlineStr">
        <is>
          <t>CONSOLE MONITORING</t>
        </is>
      </c>
      <c r="B26" s="17" t="inlineStr">
        <is>
          <t>Export logs</t>
        </is>
      </c>
      <c r="C26" s="18" t="inlineStr">
        <is>
          <t>console.log(_exportMonitoringLogs(DB))</t>
        </is>
      </c>
    </row>
    <row r="27">
      <c r="A27" s="16" t="inlineStr">
        <is>
          <t>CONSOLE MONITORING</t>
        </is>
      </c>
      <c r="B27" s="17" t="inlineStr">
        <is>
          <t>Clear logs</t>
        </is>
      </c>
      <c r="C27" s="18" t="inlineStr">
        <is>
          <t>_clearMonitoringLogs(DB)</t>
        </is>
      </c>
    </row>
    <row r="28">
      <c r="A28" s="16" t="inlineStr">
        <is>
          <t>CONSOLE LEAK</t>
        </is>
      </c>
      <c r="B28" s="17" t="inlineStr">
        <is>
          <t>Taille localStorage en MB</t>
        </is>
      </c>
      <c r="C28" s="18" t="inlineStr">
        <is>
          <t>JSON.stringify(localStorage).length / 1024 / 1024</t>
        </is>
      </c>
    </row>
    <row r="29" ht="50" customHeight="1">
      <c r="A29" s="16" t="inlineStr">
        <is>
          <t>CONSOLE LEAK</t>
        </is>
      </c>
      <c r="B29" s="17" t="inlineStr">
        <is>
          <t>Vérif pas userAgent en clair (RGPD)</t>
        </is>
      </c>
      <c r="C29" s="18" t="inlineStr">
        <is>
          <t>DB.errorLog.length &gt; 0 &amp;&amp; /Mozilla|Chrome|Safari/.test(JSON.stringify(DB.errorLog))</t>
        </is>
      </c>
    </row>
    <row r="30">
      <c r="A30" s="16" t="inlineStr">
        <is>
          <t>CONSOLE DB-CORRUPT</t>
        </is>
      </c>
      <c r="B30" s="17" t="inlineStr">
        <is>
          <t>Simuler corruption</t>
        </is>
      </c>
      <c r="C30" s="18" t="inlineStr">
        <is>
          <t>localStorage.setItem("immotrack_db_v1", "{invalide JSON")</t>
        </is>
      </c>
    </row>
    <row r="31">
      <c r="A31" s="16" t="inlineStr">
        <is>
          <t>CONSOLE DB-CORRUPT</t>
        </is>
      </c>
      <c r="B31" s="17" t="inlineStr">
        <is>
          <t>Vérif backups corruptions</t>
        </is>
      </c>
      <c r="C31" s="18" t="inlineStr">
        <is>
          <t>Object.keys(localStorage).filter(k =&gt; k.includes("corrupt_backup"))</t>
        </is>
      </c>
    </row>
    <row r="32">
      <c r="A32" s="16" t="inlineStr">
        <is>
          <t>CONSOLE IMPORT</t>
        </is>
      </c>
      <c r="B32" s="17" t="inlineStr">
        <is>
          <t>Test mapRentila</t>
        </is>
      </c>
      <c r="C32" s="18" t="inlineStr">
        <is>
          <t>window._mapRentila({biens:[{id:1, reference:"TEST", surface:50, loyer_hc:800}]})</t>
        </is>
      </c>
    </row>
    <row r="33" ht="50" customHeight="1">
      <c r="A33" s="16" t="inlineStr">
        <is>
          <t>CONSOLE IMPORT</t>
        </is>
      </c>
      <c r="B33" s="17" t="inlineStr">
        <is>
          <t>Test mapBailFacile</t>
        </is>
      </c>
      <c r="C33" s="18" t="inlineStr">
        <is>
          <t>window._mapBailFacile({Logements:[{Ref:"X", Type:"T2", Surface:50, "Loyer HC":800}]})</t>
        </is>
      </c>
    </row>
    <row r="34">
      <c r="A34" s="16" t="inlineStr">
        <is>
          <t>CONSOLE EMAIL</t>
        </is>
      </c>
      <c r="B34" s="17" t="inlineStr">
        <is>
          <t>Liste types email</t>
        </is>
      </c>
      <c r="C34" s="18" t="inlineStr">
        <is>
          <t>window._emailTypesSupportes()</t>
        </is>
      </c>
    </row>
    <row r="35">
      <c r="A35" s="16" t="inlineStr">
        <is>
          <t>CONSOLE EMAIL</t>
        </is>
      </c>
      <c r="B35" s="17" t="inlineStr">
        <is>
          <t>Historique emails</t>
        </is>
      </c>
      <c r="C35" s="18" t="inlineStr">
        <is>
          <t>DB.emailsSent</t>
        </is>
      </c>
    </row>
    <row r="36">
      <c r="A36" s="16" t="inlineStr">
        <is>
          <t>GIT</t>
        </is>
      </c>
      <c r="B36" s="17" t="inlineStr">
        <is>
          <t>Liste 19 commits marathon</t>
        </is>
      </c>
      <c r="C36" s="18" t="inlineStr">
        <is>
          <t>git log --oneline pre-modular-sprint2..HEAD --reverse</t>
        </is>
      </c>
    </row>
    <row r="37">
      <c r="A37" s="16" t="inlineStr">
        <is>
          <t>GIT</t>
        </is>
      </c>
      <c r="B37" s="17" t="inlineStr">
        <is>
          <t>Tag git pre-bascule</t>
        </is>
      </c>
      <c r="C37" s="18" t="inlineStr">
        <is>
          <t>git tag pre-bascule-prod-$(date +%Y%m%d)</t>
        </is>
      </c>
    </row>
    <row r="38">
      <c r="A38" s="16" t="inlineStr">
        <is>
          <t>GIT</t>
        </is>
      </c>
      <c r="B38" s="17" t="inlineStr">
        <is>
          <t>Backup index.html prod</t>
        </is>
      </c>
      <c r="C38" s="18" t="inlineStr">
        <is>
          <t>cp index.html index.prod.backup-$(date +%Y%m%d).html</t>
        </is>
      </c>
    </row>
    <row r="39">
      <c r="A39" s="16" t="inlineStr">
        <is>
          <t>GIT</t>
        </is>
      </c>
      <c r="B39" s="17" t="inlineStr">
        <is>
          <t>Vérif tag rollback</t>
        </is>
      </c>
      <c r="C39" s="18" t="inlineStr">
        <is>
          <t>git tag | grep pre-modular-sprint2</t>
        </is>
      </c>
    </row>
    <row r="40">
      <c r="A40" s="16" t="inlineStr">
        <is>
          <t>GIT</t>
        </is>
      </c>
      <c r="B40" s="17" t="inlineStr">
        <is>
          <t>Rollback total si catastrophe</t>
        </is>
      </c>
      <c r="C40" s="18" t="inlineStr">
        <is>
          <t>git reset --hard pre-modular-sprint2</t>
        </is>
      </c>
    </row>
    <row r="41" ht="50" customHeight="1">
      <c r="A41" s="16" t="inlineStr">
        <is>
          <t>AUDIT</t>
        </is>
      </c>
      <c r="B41" s="17" t="inlineStr">
        <is>
          <t>Re-scan XSS résiduel</t>
        </is>
      </c>
      <c r="C41" s="18" t="inlineStr">
        <is>
          <t>grep -nE "innerHTML\s*=" index-test.html | grep -v escHtml | grep -E "\$\{[a-z]\.(nom|ref|locataire|cat|lib)" | wc -l</t>
        </is>
      </c>
    </row>
    <row r="42">
      <c r="A42" s="16" t="inlineStr">
        <is>
          <t>AUDIT</t>
        </is>
      </c>
      <c r="B42" s="17" t="inlineStr">
        <is>
          <t>Compteur _auditLog total</t>
        </is>
      </c>
      <c r="C42" s="18" t="inlineStr">
        <is>
          <t>grep -c "_auditLog(" index-test.html</t>
        </is>
      </c>
    </row>
    <row r="43">
      <c r="A43" s="16" t="inlineStr">
        <is>
          <t>AUDIT</t>
        </is>
      </c>
      <c r="B43" s="17" t="inlineStr">
        <is>
          <t>Compteur tests Vitest</t>
        </is>
      </c>
      <c r="C43" s="18" t="inlineStr">
        <is>
          <t>npm run test:run 2&gt;&amp;1 | grep "Tests" | tail -1</t>
        </is>
      </c>
    </row>
    <row r="44">
      <c r="A44" s="16" t="inlineStr">
        <is>
          <t>CONSOLE PJ</t>
        </is>
      </c>
      <c r="B44" s="17" t="inlineStr">
        <is>
          <t>Vérif zéro PJ legacy non migrée</t>
        </is>
      </c>
      <c r="C44" s="18" t="inlineStr">
        <is>
          <t>DB.mouvements.filter(m =&gt; m.pj &amp;&amp; m.pj.dataB64).length</t>
        </is>
      </c>
    </row>
    <row r="45">
      <c r="A45" s="16" t="inlineStr">
        <is>
          <t>CONSOLE PJ</t>
        </is>
      </c>
      <c r="B45" s="17" t="inlineStr">
        <is>
          <t>Compter PJ mouvements migrées</t>
        </is>
      </c>
      <c r="C45" s="18" t="inlineStr">
        <is>
          <t>DB.documents.filter(d =&gt; d.parentType==="mouvement" &amp;&amp; !d._deleted).length</t>
        </is>
      </c>
    </row>
    <row r="46" ht="50" customHeight="1">
      <c r="A46" s="16" t="inlineStr">
        <is>
          <t>CONSOLE PJ</t>
        </is>
      </c>
      <c r="B46" s="17" t="inlineStr">
        <is>
          <t>Compter photos logements</t>
        </is>
      </c>
      <c r="C46" s="18" t="inlineStr">
        <is>
          <t>DB.documents.filter(d =&gt; d.parentType==="logement" &amp;&amp; d.category==="photos" &amp;&amp; !d._deleted).length</t>
        </is>
      </c>
    </row>
    <row r="47">
      <c r="A47" s="16" t="inlineStr">
        <is>
          <t>CONSOLE PJ</t>
        </is>
      </c>
      <c r="B47" s="17" t="inlineStr">
        <is>
          <t>Compter docs découverts Drive</t>
        </is>
      </c>
      <c r="C47" s="18" t="inlineStr">
        <is>
          <t>DB.documents.filter(d =&gt; d._discoveredFromDrive &amp;&amp; !d._deleted).length</t>
        </is>
      </c>
    </row>
    <row r="48">
      <c r="A48" s="16" t="inlineStr">
        <is>
          <t>CONSOLE PJ</t>
        </is>
      </c>
      <c r="B48" s="17" t="inlineStr">
        <is>
          <t>Trouver orphelins (ni IDB ni Drive)</t>
        </is>
      </c>
      <c r="C48" s="18" t="inlineStr">
        <is>
          <t>window._attachmentOrphans(DB.documents)</t>
        </is>
      </c>
    </row>
    <row r="49">
      <c r="A49" s="16" t="inlineStr">
        <is>
          <t>CONSOLE PJ</t>
        </is>
      </c>
      <c r="B49" s="17" t="inlineStr">
        <is>
          <t>Documents avec cover marquée</t>
        </is>
      </c>
      <c r="C49" s="18" t="inlineStr">
        <is>
          <t>DB.documents.filter(d =&gt; d.isCover &amp;&amp; !d._deleted)</t>
        </is>
      </c>
    </row>
    <row r="50">
      <c r="A50" s="16" t="inlineStr">
        <is>
          <t>CONSOLE PJ</t>
        </is>
      </c>
      <c r="B50" s="17" t="inlineStr">
        <is>
          <t>Documents avec driveFileId non-null</t>
        </is>
      </c>
      <c r="C50" s="18" t="inlineStr">
        <is>
          <t>DB.documents.filter(d =&gt; d.driveFileId &amp;&amp; !d._deleted).length</t>
        </is>
      </c>
    </row>
    <row r="51">
      <c r="A51" s="16" t="inlineStr">
        <is>
          <t>CONSOLE PJ</t>
        </is>
      </c>
      <c r="B51" s="17" t="inlineStr">
        <is>
          <t>Documents avec idbKey local</t>
        </is>
      </c>
      <c r="C51" s="18" t="inlineStr">
        <is>
          <t>DB.documents.filter(d =&gt; d.idbKey &amp;&amp; !d._deleted).length</t>
        </is>
      </c>
    </row>
    <row r="52">
      <c r="A52" s="16" t="inlineStr">
        <is>
          <t>CONSOLE PJ</t>
        </is>
      </c>
      <c r="B52" s="17" t="inlineStr">
        <is>
          <t>Forcer une migration legacy manuelle</t>
        </is>
      </c>
      <c r="C52" s="18" t="inlineStr">
        <is>
          <t>_migratePjMouvementsToAttachments()</t>
        </is>
      </c>
    </row>
    <row r="53" ht="50" customHeight="1">
      <c r="A53" s="16" t="inlineStr">
        <is>
          <t>CONSOLE PJ</t>
        </is>
      </c>
      <c r="B53" s="17" t="inlineStr">
        <is>
          <t>Test save attachment programmatique (logement)</t>
        </is>
      </c>
      <c r="C53" s="18" t="inlineStr">
        <is>
          <t>_attachmentSaveForEntity({type:"logement",id:1,ref:"F-001",logRef:"F-001",category:"documents"}, {name:"test.pdf",mime:"application/pdf",size:100,dataB64:"data:application/pdf;base64,JVBERi0xLjQK"})</t>
        </is>
      </c>
    </row>
    <row r="54">
      <c r="A54" s="16" t="inlineStr">
        <is>
          <t>CONSOLE DRIVE-SCAN</t>
        </is>
      </c>
      <c r="B54" s="17" t="inlineStr">
        <is>
          <t>Forcer scan manuel d'un logement</t>
        </is>
      </c>
      <c r="C54" s="18" t="inlineStr">
        <is>
          <t>_drvLazyScanLogement("F-001", ["documents","photos"])</t>
        </is>
      </c>
    </row>
    <row r="55" ht="50" customHeight="1">
      <c r="A55" s="16" t="inlineStr">
        <is>
          <t>CONSOLE DRIVE-SCAN</t>
        </is>
      </c>
      <c r="B55" s="17" t="inlineStr">
        <is>
          <t>Reset throttle scan (debug)</t>
        </is>
      </c>
      <c r="C55" s="18" t="inlineStr">
        <is>
          <t>Object.keys(window).filter(k =&gt; k.startsWith("__drvLastScan_")).forEach(k =&gt; delete window[k])</t>
        </is>
      </c>
    </row>
    <row r="56">
      <c r="A56" s="16" t="inlineStr">
        <is>
          <t>CONSOLE DRIVE-SCAN</t>
        </is>
      </c>
      <c r="B56" s="17" t="inlineStr">
        <is>
          <t>Liste fichiers d'un dossier Drive</t>
        </is>
      </c>
      <c r="C56" s="18" t="inlineStr">
        <is>
          <t>_drvListFolderFiles(DB.logements[0].driveFolders.documents)</t>
        </is>
      </c>
    </row>
    <row r="57">
      <c r="A57" s="16" t="inlineStr">
        <is>
          <t>CONSOLE PAYLOAD</t>
        </is>
      </c>
      <c r="B57" s="17" t="inlineStr">
        <is>
          <t>Vérif payload entité contient documents (fix v15.03)</t>
        </is>
      </c>
      <c r="C57" s="18" t="inlineStr">
        <is>
          <t>_buildEntityPayload(DB.entites[0]).documents.length</t>
        </is>
      </c>
    </row>
    <row r="58" ht="50" customHeight="1">
      <c r="A58" s="16" t="inlineStr">
        <is>
          <t>AUDIT v15.03</t>
        </is>
      </c>
      <c r="B58" s="17" t="inlineStr">
        <is>
          <t>Vérif hooks audit-trail sur del&lt;X&gt; (6 fns)</t>
        </is>
      </c>
      <c r="C58" s="18" t="inlineStr">
        <is>
          <t>["delImm","delMv","delQuit","delAss","delMrh","delEDL"].forEach(fn =&gt; console.log(fn, "audit:", (window[fn]?.toString()||"").includes("_auditLog") ? "✅" : "❌"))</t>
        </is>
      </c>
    </row>
    <row r="59">
      <c r="A59" s="16" t="inlineStr">
        <is>
          <t>AUDIT v15.03</t>
        </is>
      </c>
      <c r="B59" s="17" t="inlineStr">
        <is>
          <t>Compter types entityType dans audit-trail</t>
        </is>
      </c>
      <c r="C59" s="18" t="inlineStr">
        <is>
          <t>[...new Set(DB.auditTrail.map(e =&gt; e.entityType))]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2026-05-13T20:22:55Z</dcterms:created>
  <dcterms:modified xmlns:dcterms="http://purl.org/dc/terms/" xmlns:xsi="http://www.w3.org/2001/XMLSchema-instance" xsi:type="dcterms:W3CDTF">2026-05-13T20:22:55Z</dcterms:modified>
</cp:coreProperties>
</file>